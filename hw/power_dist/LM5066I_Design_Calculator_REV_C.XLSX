
<file path=[Content_Types].xml><?xml version="1.0" encoding="utf-8"?>
<Types xmlns="http://schemas.openxmlformats.org/package/2006/content-types">
  <Override PartName="/xl/_rels/workbook.xml.rels" ContentType="application/vnd.openxmlformats-package.relationships+xml"/>
  <Override PartName="/xl/comments2.xml" ContentType="application/vnd.openxmlformats-officedocument.spreadsheetml.comments+xml"/>
  <Override PartName="/xl/media/image86.wmf" ContentType="image/x-wmf"/>
  <Override PartName="/xl/media/image87.wmf" ContentType="image/x-wmf"/>
  <Override PartName="/xl/media/image84.wmf" ContentType="image/x-wmf"/>
  <Override PartName="/xl/media/image81.wmf" ContentType="image/x-wmf"/>
  <Override PartName="/xl/media/image97.png" ContentType="image/png"/>
  <Override PartName="/xl/media/image91.png" ContentType="image/png"/>
  <Override PartName="/xl/media/image85.png" ContentType="image/png"/>
  <Override PartName="/xl/media/image92.png" ContentType="image/png"/>
  <Override PartName="/xl/media/image82.png" ContentType="image/png"/>
  <Override PartName="/xl/media/image83.png" ContentType="image/png"/>
  <Override PartName="/xl/media/image90.png" ContentType="image/png"/>
  <Override PartName="/xl/media/image88.png" ContentType="image/png"/>
  <Override PartName="/xl/media/image95.png" ContentType="image/png"/>
  <Override PartName="/xl/media/image89.png" ContentType="image/png"/>
  <Override PartName="/xl/media/image96.png" ContentType="image/png"/>
  <Override PartName="/xl/media/image93.png" ContentType="image/png"/>
  <Override PartName="/xl/media/image94.png" ContentType="image/png"/>
  <Override PartName="/xl/styles.xml" ContentType="application/vnd.openxmlformats-officedocument.spreadsheetml.styles+xml"/>
  <Override PartName="/xl/workbook.xml" ContentType="application/vnd.openxmlformats-officedocument.spreadsheetml.sheet.main+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7.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20.xml" ContentType="application/vnd.openxmlformats-officedocument.drawingml.chart+xml"/>
  <Override PartName="/xl/charts/chart19.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_rels/externalLink1.xml.rels" ContentType="application/vnd.openxmlformats-package.relationships+xml"/>
  <Override PartName="/xl/externalLinks/_rels/externalLink2.xml.rels" ContentType="application/vnd.openxmlformats-package.relationships+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_rels/drawing4.xml.rels" ContentType="application/vnd.openxmlformats-package.relationships+xml"/>
  <Override PartName="/xl/drawings/_rels/drawing1.xml.rels" ContentType="application/vnd.openxmlformats-package.relationships+xml"/>
  <Override PartName="/xl/drawings/_rels/drawing2.xml.rels" ContentType="application/vnd.openxmlformats-package.relationships+xml"/>
  <Override PartName="/xl/drawings/drawing4.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_Disclaimer" sheetId="1" state="visible" r:id="rId2"/>
    <sheet name="Design Calculator" sheetId="2" state="visible" r:id="rId3"/>
    <sheet name="Device Parameters" sheetId="3" state="visible" r:id="rId4"/>
    <sheet name="Equations" sheetId="4" state="visible" r:id="rId5"/>
    <sheet name="Start_up" sheetId="5" state="visible" r:id="rId6"/>
    <sheet name="SOA" sheetId="6" state="visible" r:id="rId7"/>
    <sheet name="dv_dt_recommendations" sheetId="7" state="visible" r:id="rId8"/>
  </sheets>
  <externalReferences>
    <externalReference r:id="rId9"/>
    <externalReference r:id="rId10"/>
  </externalReferences>
  <definedNames>
    <definedName function="false" hidden="false" localSheetId="1" name="_xlnm.Print_Area" vbProcedure="false">'Design Calculator'!$A$1:$M$208</definedName>
    <definedName function="false" hidden="false" name="CLMAX" vbProcedure="false">Equations!$F$15</definedName>
    <definedName function="false" hidden="false" name="CLMAX_Threshold" vbProcedure="false">Equations!$E$6</definedName>
    <definedName function="false" hidden="false" name="CLMIN" vbProcedure="false">Equations!$F$13</definedName>
    <definedName function="false" hidden="false" name="CLMIN_Threshold" vbProcedure="false">Equations!$E$4</definedName>
    <definedName function="false" hidden="false" name="CLNOM" vbProcedure="false">Equations!$F$14</definedName>
    <definedName function="false" hidden="false" name="CLNOM_Threshold" vbProcedure="false">Equations!$E$5</definedName>
    <definedName function="false" hidden="false" name="COUTMAX" vbProcedure="false">'Design Calculator'!$F$31</definedName>
    <definedName function="false" hidden="false" name="CTIMER" vbProcedure="false">'design calculator'!#ref!</definedName>
    <definedName function="false" hidden="false" name="FETPDISS" vbProcedure="false">'Design Calculator'!$F$63</definedName>
    <definedName function="false" hidden="false" name="ILIM" vbProcedure="false">[2]ILIM_SOA_considerations!$C$25</definedName>
    <definedName function="false" hidden="false" name="Ilim_min" vbProcedure="false">[2]ILIM_SOA_considerations!$C$61</definedName>
    <definedName function="false" hidden="false" name="IOUTMAX" vbProcedure="false">'Design Calculator'!$F$30</definedName>
    <definedName function="false" hidden="false" name="I_Cout_ss" vbProcedure="false">Equations!$F$56</definedName>
    <definedName function="false" hidden="false" name="MaxFETPW" vbProcedure="false">'design calculator'!#ref!</definedName>
    <definedName function="false" hidden="false" name="NUMFETS" vbProcedure="false">'Design Calculator'!$F$55</definedName>
    <definedName function="false" hidden="false" name="PLIM" vbProcedure="false">[2]ILIM_SOA_considerations!$C$40</definedName>
    <definedName function="false" hidden="false" name="PLIMMAX" vbProcedure="false">'design calculator'!#ref!</definedName>
    <definedName function="false" hidden="false" name="PLIMMIN" vbProcedure="false">'design calculator'!#ref!</definedName>
    <definedName function="false" hidden="false" name="PLIMNOM" vbProcedure="false">'design calculator'!#ref!</definedName>
    <definedName function="false" hidden="false" name="RDIV1" vbProcedure="false">'Design Calculator'!$F$44</definedName>
    <definedName function="false" hidden="false" name="RDIV2" vbProcedure="false">'Design Calculator'!$F$45</definedName>
    <definedName function="false" hidden="false" name="RDSON" vbProcedure="false">'Design Calculator'!$AN$56</definedName>
    <definedName function="false" hidden="false" name="RPWR" vbProcedure="false">'Design Calculator'!$F$68</definedName>
    <definedName function="false" hidden="false" name="Rrflt" vbProcedure="false">[2]ILIM_SOA_considerations!$C$46</definedName>
    <definedName function="false" hidden="false" name="Rs" vbProcedure="false">'Design Calculator'!$F$41</definedName>
    <definedName function="false" hidden="false" name="RsEFF" vbProcedure="false">Equations!$F$12</definedName>
    <definedName function="false" hidden="false" name="Rsense" vbProcedure="false">[2]ILIM_SOA_considerations!$C$30</definedName>
    <definedName function="false" hidden="false" name="RsMAX" vbProcedure="false">'Design Calculator'!$F$39</definedName>
    <definedName function="false" hidden="false" name="SOA_av" vbProcedure="false">[2]ILIM_SOA_considerations!$C$52</definedName>
    <definedName function="false" hidden="false" name="ss_rate" vbProcedure="false">Equations!$F$52</definedName>
    <definedName function="false" hidden="false" name="TAMB" vbProcedure="false">'Design Calculator'!$F$32</definedName>
    <definedName function="false" hidden="false" name="Tfault" vbProcedure="false">'Design Calculator'!$F$79</definedName>
    <definedName function="false" hidden="false" name="Tfaultmax" vbProcedure="false">'design calculator'!#ref!</definedName>
    <definedName function="false" hidden="false" name="ThetaJA" vbProcedure="false">'Design Calculator'!$F$54</definedName>
    <definedName function="false" hidden="false" name="TINSERT" vbProcedure="false">'Design Calculator'!$F$94</definedName>
    <definedName function="false" hidden="false" name="TINSERTMAX" vbProcedure="false">Equations!$F$99</definedName>
    <definedName function="false" hidden="false" name="TINSERTMIN" vbProcedure="false">Equations!$F$97</definedName>
    <definedName function="false" hidden="false" name="TJ" vbProcedure="false">'Design Calculator'!$F$64</definedName>
    <definedName function="false" hidden="false" name="TJMAX" vbProcedure="false">'Design Calculator'!$AN$57</definedName>
    <definedName function="false" hidden="false" name="Tsd" vbProcedure="false">[2]ILIM_SOA_considerations!$C$67</definedName>
    <definedName function="false" hidden="false" name="TSTARTMAX" vbProcedure="false">Equations!$F$86</definedName>
    <definedName function="false" hidden="false" name="TSTARTMIN" vbProcedure="false">Equations!$F$84</definedName>
    <definedName function="false" hidden="false" name="TSTARTNOM" vbProcedure="false">Equations!$F$85</definedName>
    <definedName function="false" hidden="false" name="T_cap_charge" vbProcedure="false">[2]ILIM_SOA_considerations!$C$45</definedName>
    <definedName function="false" hidden="false" name="T_margin" vbProcedure="false">[2]ILIM_SOA_considerations!$C$9</definedName>
    <definedName function="false" hidden="false" name="T_total" vbProcedure="false">[2]ILIM_SOA_considerations!$C$47</definedName>
    <definedName function="false" hidden="false" name="Vbus" vbProcedure="false">[2]ILIM_SOA_considerations!$C$23</definedName>
    <definedName function="false" hidden="false" name="VINMAX" vbProcedure="false">'Design Calculator'!$F$29</definedName>
    <definedName function="false" hidden="false" name="VINMIN" vbProcedure="false">'Design Calculator'!$F$27</definedName>
    <definedName function="false" hidden="false" name="VINNOM" vbProcedure="false">'Design Calculator'!$F$28</definedName>
    <definedName function="false" hidden="false" name="V_sns_cl_max" vbProcedure="false">[2]ILIM_SOA_considerations!$C$15</definedName>
    <definedName function="false" hidden="false" name="yesno" vbProcedure="false">'Design Calculator'!$AU$14:$AU$15</definedName>
    <definedName function="false" hidden="false" localSheetId="5" name="ILIM" vbProcedure="false">[1]ILIM_SOA_considerations!$C$25</definedName>
    <definedName function="false" hidden="false" localSheetId="5" name="Ilim_min" vbProcedure="false">[1]ILIM_SOA_considerations!$C$61</definedName>
    <definedName function="false" hidden="false" localSheetId="5" name="PLIM" vbProcedure="false">[1]ILIM_SOA_considerations!$C$40</definedName>
    <definedName function="false" hidden="false" localSheetId="5" name="Rrflt" vbProcedure="false">[1]ILIM_SOA_considerations!$C$46</definedName>
    <definedName function="false" hidden="false" localSheetId="5" name="Rsense" vbProcedure="false">[1]ILIM_SOA_considerations!$C$30</definedName>
    <definedName function="false" hidden="false" localSheetId="5" name="SOA_av" vbProcedure="false">[1]ILIM_SOA_considerations!$C$52</definedName>
    <definedName function="false" hidden="false" localSheetId="5" name="solver_adj" vbProcedure="false">soa!#ref!</definedName>
    <definedName function="false" hidden="false" localSheetId="5" name="solver_cvg" vbProcedure="false">0.0001</definedName>
    <definedName function="false" hidden="false" localSheetId="5" name="solver_drv" vbProcedure="false">1</definedName>
    <definedName function="false" hidden="false" localSheetId="5" name="solver_eng" vbProcedure="false">1</definedName>
    <definedName function="false" hidden="false" localSheetId="5" name="solver_est" vbProcedure="false">1</definedName>
    <definedName function="false" hidden="false" localSheetId="5" name="solver_itr" vbProcedure="false">2147483647</definedName>
    <definedName function="false" hidden="false" localSheetId="5" name="solver_mip" vbProcedure="false">2147483647</definedName>
    <definedName function="false" hidden="false" localSheetId="5" name="solver_mni" vbProcedure="false">30</definedName>
    <definedName function="false" hidden="false" localSheetId="5" name="solver_mrt" vbProcedure="false">0.075</definedName>
    <definedName function="false" hidden="false" localSheetId="5" name="solver_msl" vbProcedure="false">2</definedName>
    <definedName function="false" hidden="false" localSheetId="5" name="solver_neg" vbProcedure="false">1</definedName>
    <definedName function="false" hidden="false" localSheetId="5" name="solver_nod" vbProcedure="false">2147483647</definedName>
    <definedName function="false" hidden="false" localSheetId="5" name="solver_num" vbProcedure="false">0</definedName>
    <definedName function="false" hidden="false" localSheetId="5" name="solver_nwt" vbProcedure="false">1</definedName>
    <definedName function="false" hidden="false" localSheetId="5" name="solver_opt" vbProcedure="false">soa!#ref!</definedName>
    <definedName function="false" hidden="false" localSheetId="5" name="solver_pre" vbProcedure="false">0.000001</definedName>
    <definedName function="false" hidden="false" localSheetId="5" name="solver_rbv" vbProcedure="false">1</definedName>
    <definedName function="false" hidden="false" localSheetId="5" name="solver_rlx" vbProcedure="false">2</definedName>
    <definedName function="false" hidden="false" localSheetId="5" name="solver_rsd" vbProcedure="false">0</definedName>
    <definedName function="false" hidden="false" localSheetId="5" name="solver_scl" vbProcedure="false">1</definedName>
    <definedName function="false" hidden="false" localSheetId="5" name="solver_sho" vbProcedure="false">2</definedName>
    <definedName function="false" hidden="false" localSheetId="5" name="solver_ssz" vbProcedure="false">100</definedName>
    <definedName function="false" hidden="false" localSheetId="5" name="solver_tim" vbProcedure="false">2147483647</definedName>
    <definedName function="false" hidden="false" localSheetId="5" name="solver_tol" vbProcedure="false">0.01</definedName>
    <definedName function="false" hidden="false" localSheetId="5" name="solver_typ" vbProcedure="false">3</definedName>
    <definedName function="false" hidden="false" localSheetId="5" name="solver_val" vbProcedure="false">0</definedName>
    <definedName function="false" hidden="false" localSheetId="5" name="solver_ver" vbProcedure="false">3</definedName>
    <definedName function="false" hidden="false" localSheetId="5" name="Tsd" vbProcedure="false">[1]ILIM_SOA_considerations!$C$67</definedName>
    <definedName function="false" hidden="false" localSheetId="5" name="T_cap_charge" vbProcedure="false">[1]ILIM_SOA_considerations!$C$45</definedName>
    <definedName function="false" hidden="false" localSheetId="5" name="T_margin" vbProcedure="false">[1]ILIM_SOA_considerations!$C$9</definedName>
    <definedName function="false" hidden="false" localSheetId="5" name="T_total" vbProcedure="false">[1]ILIM_SOA_considerations!$C$47</definedName>
    <definedName function="false" hidden="false" localSheetId="5" name="Vbus" vbProcedure="false">[1]ILIM_SOA_considerations!$C$23</definedName>
    <definedName function="false" hidden="false" localSheetId="5" name="V_sns_cl_max" vbProcedure="false">[1]ILIM_SOA_considerations!$C$15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F27" authorId="0">
      <text>
        <r>
          <rPr>
            <b val="true"/>
            <sz val="8"/>
            <color rgb="FF000000"/>
            <rFont val="Tahoma"/>
            <family val="2"/>
            <charset val="1"/>
          </rPr>
          <t xml:space="preserve">The minimum system voltage must be no less than 10V.</t>
        </r>
      </text>
    </comment>
    <comment ref="F29" authorId="0">
      <text>
        <r>
          <rPr>
            <b val="true"/>
            <sz val="8"/>
            <color rgb="FF000000"/>
            <rFont val="Tahoma"/>
            <family val="2"/>
            <charset val="1"/>
          </rPr>
          <t xml:space="preserve">The maximum system voltage must be no greater than 80V.</t>
        </r>
      </text>
    </comment>
    <comment ref="F31" authorId="0">
      <text>
        <r>
          <rPr>
            <b val="true"/>
            <sz val="8"/>
            <color rgb="FF000000"/>
            <rFont val="Tahoma"/>
            <family val="2"/>
            <charset val="1"/>
          </rPr>
          <t xml:space="preserve">This is the capacitance at Vout. This should not be zero. A minimum of 10 </t>
        </r>
        <r>
          <rPr>
            <b val="true"/>
            <sz val="8"/>
            <color rgb="FF000000"/>
            <rFont val="Arial"/>
            <family val="2"/>
            <charset val="1"/>
          </rPr>
          <t xml:space="preserve">μ</t>
        </r>
        <r>
          <rPr>
            <b val="true"/>
            <sz val="8"/>
            <color rgb="FF000000"/>
            <rFont val="Tahoma"/>
            <family val="2"/>
            <charset val="1"/>
          </rPr>
          <t xml:space="preserve">F is recommended.</t>
        </r>
      </text>
    </comment>
    <comment ref="F38" authorId="0">
      <text>
        <r>
          <rPr>
            <b val="true"/>
            <sz val="8"/>
            <color rgb="FF000000"/>
            <rFont val="Tahoma"/>
            <family val="2"/>
            <charset val="1"/>
          </rPr>
          <t xml:space="preserve">Select either 26mV or 50mV current limit.
26mV will result in less power loss in the Rs resistor.</t>
        </r>
      </text>
    </comment>
    <comment ref="F40" authorId="0">
      <text>
        <r>
          <rPr>
            <b val="true"/>
            <sz val="9"/>
            <color rgb="FF000000"/>
            <rFont val="Tahoma"/>
            <family val="2"/>
            <charset val="1"/>
          </rPr>
          <t xml:space="preserve">Using an External Resistor allows the user to fine tune the current limit for a given standard resistor. 
It will add error to the power limit, current limit, and telemetry (1% resistors) and should be avoided if possible. 
</t>
        </r>
      </text>
    </comment>
    <comment ref="F41" authorId="0">
      <text>
        <r>
          <rPr>
            <b val="true"/>
            <sz val="8"/>
            <color rgb="FF000000"/>
            <rFont val="Tahoma"/>
            <family val="2"/>
            <charset val="1"/>
          </rPr>
          <t xml:space="preserve">When using an external resistor divider, Rs must be larger than the targeted Rs,eff.  Pick the next larger available Rs.  
When not using an external resistor divider, pick the next smallest available sense resistor. </t>
        </r>
      </text>
    </comment>
    <comment ref="F42" authorId="0">
      <text>
        <r>
          <rPr>
            <b val="true"/>
            <sz val="9"/>
            <color rgb="FF000000"/>
            <rFont val="Tahoma"/>
            <family val="2"/>
            <charset val="1"/>
          </rPr>
          <t xml:space="preserve">Cell turns Red if 
When using an external resistor divider, Rs must be larger than the targeted Rs,eff.  Pick the next larger available Rs.  
</t>
        </r>
        <r>
          <rPr>
            <sz val="9"/>
            <color rgb="FF000000"/>
            <rFont val="Tahoma"/>
            <family val="2"/>
            <charset val="1"/>
          </rPr>
          <t xml:space="preserve">
</t>
        </r>
      </text>
    </comment>
    <comment ref="F47" authorId="0">
      <text>
        <r>
          <rPr>
            <b val="true"/>
            <sz val="9"/>
            <color rgb="FF000000"/>
            <rFont val="Tahoma"/>
            <family val="2"/>
            <charset val="1"/>
          </rPr>
          <t xml:space="preserve">Ensure that the minimum current limit is above maximum load current. </t>
        </r>
      </text>
    </comment>
    <comment ref="F50" authorId="0">
      <text>
        <r>
          <rPr>
            <b val="true"/>
            <sz val="8"/>
            <color rgb="FF000000"/>
            <rFont val="Tahoma"/>
            <family val="2"/>
            <charset val="1"/>
          </rPr>
          <t xml:space="preserve">The power dissipation is calculated using the maximum normal load current.
Ensure the selected resistor is rated for this power dissipation.</t>
        </r>
      </text>
    </comment>
    <comment ref="F54" authorId="0">
      <text>
        <r>
          <rPr>
            <b val="true"/>
            <sz val="9"/>
            <color rgb="FF000000"/>
            <rFont val="Tahoma"/>
            <family val="2"/>
            <charset val="1"/>
          </rPr>
          <t xml:space="preserve">Note that this parameter is heavily dependent on the board layout and amount of copper connected to the Drain of the FET. 
The TI EVM is ~30C / W number and is a good starting point. It's recommended to measure this value again once the boards are built and plugging this back into the calculator. 
</t>
        </r>
      </text>
    </comment>
    <comment ref="F64" authorId="0">
      <text>
        <r>
          <rPr>
            <sz val="9"/>
            <color rgb="FF000000"/>
            <rFont val="Tahoma"/>
            <family val="2"/>
            <charset val="1"/>
          </rPr>
          <t xml:space="preserve">If FET temperature is too high, increase the # of FETs, reduce the load, or reduce the RθJA by adding more heat sinking to MOSFETs. 
</t>
        </r>
      </text>
    </comment>
    <comment ref="F66" authorId="0">
      <text>
        <r>
          <rPr>
            <sz val="9"/>
            <color rgb="FF000000"/>
            <rFont val="Tahoma"/>
            <family val="2"/>
            <charset val="1"/>
          </rPr>
          <t xml:space="preserve">Usually this can be set to PLIM,MIN.  If a load is present during start-up a higher Plim, may be preferred. 
</t>
        </r>
      </text>
    </comment>
    <comment ref="F69" authorId="0">
      <text>
        <r>
          <rPr>
            <sz val="9"/>
            <color rgb="FF000000"/>
            <rFont val="Tahoma"/>
            <family val="2"/>
            <charset val="1"/>
          </rPr>
          <t xml:space="preserve">Cell turns Red if the actual power limit is below Minimum Power Limit (cell F47)
</t>
        </r>
      </text>
    </comment>
    <comment ref="F71" authorId="0">
      <text>
        <r>
          <rPr>
            <b val="true"/>
            <sz val="8"/>
            <color rgb="FF000000"/>
            <rFont val="Tahoma"/>
            <family val="2"/>
            <charset val="1"/>
          </rPr>
          <t xml:space="preserve">Select if the load will draw current during start-up. 
For no Load, choose constant current and set to zero</t>
        </r>
      </text>
    </comment>
    <comment ref="F73" authorId="0">
      <text>
        <r>
          <rPr>
            <b val="true"/>
            <sz val="8"/>
            <color rgb="FF000000"/>
            <rFont val="Tahoma"/>
            <family val="2"/>
            <charset val="1"/>
          </rPr>
          <t xml:space="preserve">Yes or No.  Default is No.  However, DV/DT control can be useful in high current applications or applications were COUT is large.
If SOA margin is poor with a PLIM start-up, switching to a soft start can alleviate this problem.</t>
        </r>
      </text>
    </comment>
    <comment ref="F75" authorId="0">
      <text>
        <r>
          <rPr>
            <b val="true"/>
            <sz val="9"/>
            <color rgb="FF000000"/>
            <rFont val="Tahoma"/>
            <family val="2"/>
            <charset val="1"/>
          </rPr>
          <t xml:space="preserve">If IFET - ILOAD margin is too low, there may be start-up issues due to variation in power limit or load profile.  A margin &gt; 25% is recommended. 
If margin is &lt; 25%, the power limit should be increased or the load should be kept completely OFF during start-up. 
</t>
        </r>
      </text>
    </comment>
    <comment ref="F76" authorId="0">
      <text>
        <r>
          <rPr>
            <b val="true"/>
            <sz val="8"/>
            <color rgb="FF000000"/>
            <rFont val="Tahoma"/>
            <family val="2"/>
            <charset val="1"/>
          </rPr>
          <t xml:space="preserve">To ensure start-up the fault time out must be longer than the start-up time. It is recommended to choose a fault timer that is larger than the typical start-time to account for variations in Plim, timer current, and timer capacitance. </t>
        </r>
      </text>
    </comment>
    <comment ref="F78" authorId="0">
      <text>
        <r>
          <rPr>
            <b val="true"/>
            <sz val="9"/>
            <color rgb="FF000000"/>
            <rFont val="Tahoma"/>
            <family val="2"/>
            <charset val="1"/>
          </rPr>
          <t xml:space="preserve">Pick closest capacitor that is larger than the Target capacitance
</t>
        </r>
      </text>
    </comment>
    <comment ref="F80" authorId="0">
      <text>
        <r>
          <rPr>
            <sz val="9"/>
            <color rgb="FF000000"/>
            <rFont val="Tahoma"/>
            <family val="2"/>
            <charset val="1"/>
          </rPr>
          <t xml:space="preserve">A ratio over 1.1 is required and over 1.3 is preferred.  This will account for variation in Power limit and timer
If the margin is poor with a PLIM based start-up, switch to soft start (cell F55)</t>
        </r>
      </text>
    </comment>
    <comment ref="F81" authorId="0">
      <text>
        <r>
          <rPr>
            <b val="true"/>
            <sz val="8"/>
            <color rgb="FF000000"/>
            <rFont val="Tahoma"/>
            <family val="2"/>
            <charset val="1"/>
          </rPr>
          <t xml:space="preserve">This is used to determine the maximum FET case temperature before start-up. 
A "yes" here means that a user may run a board at full current, then unplug the board and plug it back in. In that the FET is hot before hot-plug. 
If this is a "no".  FET temperature just equals the ambient temperature. </t>
        </r>
      </text>
    </comment>
    <comment ref="F82" authorId="0">
      <text>
        <r>
          <rPr>
            <b val="true"/>
            <sz val="9"/>
            <color rgb="FF000000"/>
            <rFont val="Tahoma"/>
            <family val="2"/>
            <charset val="1"/>
          </rPr>
          <t xml:space="preserve">If these cells are red, there is no suitable slew rate for keeping FET whithin SOA. 
Reduce load at start-up or pick FET with better SOA. </t>
        </r>
      </text>
    </comment>
    <comment ref="F83" authorId="0">
      <text>
        <r>
          <rPr>
            <b val="true"/>
            <sz val="9"/>
            <color rgb="FF000000"/>
            <rFont val="Tahoma"/>
            <family val="2"/>
            <charset val="1"/>
          </rPr>
          <t xml:space="preserve">If these cells are red, there is no suitable slew rate for keeping FET whithin SOA. 
Reduce load at start-up or pick FET with better SOA. 
</t>
        </r>
      </text>
    </comment>
    <comment ref="F84" authorId="0">
      <text>
        <r>
          <rPr>
            <b val="true"/>
            <sz val="9"/>
            <color rgb="FF000000"/>
            <rFont val="Tahoma"/>
            <family val="2"/>
            <charset val="1"/>
          </rPr>
          <t xml:space="preserve">Ensure that this is lower than max ss slew rate in the cell above
</t>
        </r>
      </text>
    </comment>
    <comment ref="F87" authorId="0">
      <text>
        <r>
          <rPr>
            <b val="true"/>
            <sz val="9"/>
            <color rgb="FF000000"/>
            <rFont val="Tahoma"/>
            <family val="2"/>
            <charset val="1"/>
          </rPr>
          <t xml:space="preserve">Ensure that this is lower than max ss slew rate.</t>
        </r>
      </text>
    </comment>
    <comment ref="F88" authorId="0">
      <text>
        <r>
          <rPr>
            <sz val="9"/>
            <color rgb="FF000000"/>
            <rFont val="Tahoma"/>
            <family val="2"/>
            <charset val="1"/>
          </rPr>
          <t xml:space="preserve">A margin of &gt;1.1 is required and a margin of &gt;1.5 is recommended to accout for the variation in the gate current. 
Reduce dv/dt rate to reduce inrush current and increase SOA margin</t>
        </r>
      </text>
    </comment>
    <comment ref="F93" authorId="0">
      <text>
        <r>
          <rPr>
            <b val="true"/>
            <sz val="9"/>
            <color rgb="FF000000"/>
            <rFont val="Tahoma"/>
            <family val="2"/>
            <charset val="1"/>
          </rPr>
          <t xml:space="preserve">A margin of &gt;1.1 is required and a margin of &gt;1.3 is recommended to accout for the variation in the power limit and timer. 
Reduce Tfault to improve SOA margin. 
</t>
        </r>
      </text>
    </comment>
    <comment ref="F95" authorId="0">
      <text>
        <r>
          <rPr>
            <b val="true"/>
            <sz val="8"/>
            <color rgb="FF000000"/>
            <rFont val="Tahoma"/>
            <family val="2"/>
            <charset val="1"/>
          </rPr>
          <t xml:space="preserve">This calculation applies only when the RETRY option is selected.</t>
        </r>
      </text>
    </comment>
    <comment ref="F96" authorId="0">
      <text>
        <r>
          <rPr>
            <b val="true"/>
            <sz val="8"/>
            <color rgb="FF000000"/>
            <rFont val="Tahoma"/>
            <family val="2"/>
            <charset val="1"/>
          </rPr>
          <t xml:space="preserve">See the schematics above to select the appropriate option for setting the input voltage UVLO and OVLO thresholds.</t>
        </r>
      </text>
    </comment>
    <comment ref="F97" authorId="0">
      <text>
        <r>
          <rPr>
            <b val="true"/>
            <sz val="8"/>
            <color rgb="FF000000"/>
            <rFont val="Tahoma"/>
            <family val="2"/>
            <charset val="1"/>
          </rPr>
          <t xml:space="preserve">This threshold must be between 10V and 80V.</t>
        </r>
      </text>
    </comment>
    <comment ref="F98" authorId="0">
      <text>
        <r>
          <rPr>
            <b val="true"/>
            <sz val="8"/>
            <color rgb="FF000000"/>
            <rFont val="Tahoma"/>
            <family val="2"/>
            <charset val="1"/>
          </rPr>
          <t xml:space="preserve">This threshold must be greater than 10V, and less than the upper UVLO threshold.</t>
        </r>
      </text>
    </comment>
    <comment ref="F99" authorId="0">
      <text>
        <r>
          <rPr>
            <b val="true"/>
            <sz val="8"/>
            <color rgb="FF000000"/>
            <rFont val="Tahoma"/>
            <family val="2"/>
            <charset val="1"/>
          </rPr>
          <t xml:space="preserve">This threshold must be greater than the upper UVLO Threshold, and less than 80V.</t>
        </r>
      </text>
    </comment>
    <comment ref="F145" authorId="0">
      <text>
        <r>
          <rPr>
            <sz val="9"/>
            <color rgb="FF000000"/>
            <rFont val="Tahoma"/>
            <family val="2"/>
            <charset val="1"/>
          </rPr>
          <t xml:space="preserve">TI recommended. Same as EVM
</t>
        </r>
      </text>
    </comment>
    <comment ref="F148" authorId="0">
      <text>
        <r>
          <rPr>
            <sz val="9"/>
            <color rgb="FF000000"/>
            <rFont val="Tahoma"/>
            <family val="2"/>
            <charset val="1"/>
          </rPr>
          <t xml:space="preserve">TI recommended. Same as EVM
</t>
        </r>
      </text>
    </comment>
    <comment ref="F150" authorId="0">
      <text>
        <r>
          <rPr>
            <sz val="9"/>
            <color rgb="FF000000"/>
            <rFont val="Tahoma"/>
            <family val="2"/>
            <charset val="1"/>
          </rPr>
          <t xml:space="preserve">TI recomends the SMDJxx TVS, which are used on the EVM. 
Pick the proper value based on the input voltage. 
</t>
        </r>
      </text>
    </comment>
    <comment ref="I68" authorId="0">
      <text>
        <r>
          <rPr>
            <sz val="9"/>
            <color rgb="FF000000"/>
            <rFont val="Tahoma"/>
            <family val="2"/>
            <charset val="1"/>
          </rPr>
          <t xml:space="preserve">3 Parameters:
Step 1: Max Ambient Operating Temperature 
Step 3: Estimated MOSFET RQJA
Step 3: FET Power Dissipation at full load 
**This includes air flow
</t>
        </r>
      </text>
    </comment>
  </commentList>
</comments>
</file>

<file path=xl/sharedStrings.xml><?xml version="1.0" encoding="utf-8"?>
<sst xmlns="http://schemas.openxmlformats.org/spreadsheetml/2006/main" count="768" uniqueCount="524">
  <si>
    <t xml:space="preserve">© 2014</t>
  </si>
  <si>
    <t xml:space="preserve">LM5066I Design Tool- Rev. C</t>
  </si>
  <si>
    <t xml:space="preserve">Typical design procedure</t>
  </si>
  <si>
    <t xml:space="preserve">Typical applications require multiple passes through the design tool using MOSFET factors such as transient</t>
  </si>
  <si>
    <t xml:space="preserve">thermal response and safe operating area curves. Refer to the following application reports for more detail.</t>
  </si>
  <si>
    <t xml:space="preserve">Robust Hot Swap Design</t>
  </si>
  <si>
    <t xml:space="preserve">LM5066I Datasheet (See "Applications and Implementation")</t>
  </si>
  <si>
    <t xml:space="preserve">The basic design process follows:</t>
  </si>
  <si>
    <t xml:space="preserve">1. Enter operating conditions.</t>
  </si>
  <si>
    <t xml:space="preserve">2. Select current limit parameters.</t>
  </si>
  <si>
    <t xml:space="preserve">3. Enter MOSTFET SOA characteristics &amp; power limit.</t>
  </si>
  <si>
    <t xml:space="preserve">4. Select start up conditions (load and/or soft start). Check whether FET is operating with reasonable margin, within the SOA curve.</t>
  </si>
  <si>
    <t xml:space="preserve">    If not, try changing start-up conditions (soft start values, timer values), add more FETs in parallel, or switch to FET with better SOA.</t>
  </si>
  <si>
    <t xml:space="preserve">5. Enter desired UVLO and OVLO values to get recommended resistor values.</t>
  </si>
  <si>
    <t xml:space="preserve">6. Done</t>
  </si>
  <si>
    <t xml:space="preserve">Notes</t>
  </si>
  <si>
    <t xml:space="preserve">1. This worksheet is designed for use with Microsoft Excel 5.0 or later.  Its use is intended to assist power supply designers in their</t>
  </si>
  <si>
    <t xml:space="preserve">routine, day-to-day calculations.  </t>
  </si>
  <si>
    <t xml:space="preserve">2. All worksheets have light green inputs cells, white calculated cells, yellow warning cells and red high-risk cells.</t>
  </si>
  <si>
    <t xml:space="preserve">3. Formulas and device constants used in the spreadsheet are locked to prohibit them from accidentally being overwritten or deleted.</t>
  </si>
  <si>
    <t xml:space="preserve">TEXAS INSTRUMENTS TEXT FILE LICENSE
Copyright (c) 2014 Texas Instruments Incorporated
All rights reserved not granted herein.
Limited License.  
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
Redistributions must preserve existing copyright notices and reproduce this license (including the above copyright notice and the disclaimer and (if applicable) source code license limitations below) in the documentation and/or other materials provided with the distribution
Redistribution and use in binary form, without modification, are permitted provided that the following conditions are met:
* No reverse engineering, decompilation, or disassembly of this software is permitted with respect to any software provided in binary form.
* any redistribution and use are licensed by TI for use only with TI Devices.
* Nothing shall obligate TI to provide you with source code for the software licensed and provided to you in object code.
If software source code is provided to you, modification and redistribution of the source code are permitted provided that the following conditions are met:
* any redistribution and use of the source code, including any resulting derivative works, are licensed by TI for use only with TI Devices.
* any redistribution and use of any object code compiled from the source code and any resulting derivative works, are licensed by TI for use only with TI Devices.
Neither the name of Texas Instruments Incorporated nor the names of its suppliers may be used to endorse or promote products derived from this software without specific prior written permission.
DISCLAIMER.
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</si>
  <si>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r>
      <rPr>
        <sz val="24"/>
        <color rgb="FFFFFFFF"/>
        <rFont val="Arial"/>
        <family val="2"/>
        <charset val="1"/>
      </rPr>
      <t xml:space="preserve">                         </t>
    </r>
    <r>
      <rPr>
        <sz val="22"/>
        <color rgb="FFFFFFFF"/>
        <rFont val="Arial"/>
        <family val="2"/>
        <charset val="1"/>
      </rPr>
      <t xml:space="preserve">LM5066I PMBus Hot Swap Design Tool</t>
    </r>
  </si>
  <si>
    <t xml:space="preserve">www.ti.com/hotswap</t>
  </si>
  <si>
    <t xml:space="preserve">Enter Values in Green Shaded Cells</t>
  </si>
  <si>
    <t xml:space="preserve">Calculated Values are shown in White Cells</t>
  </si>
  <si>
    <t xml:space="preserve">Yellow and Red cells highlight potential issues with the design. Red highlights items that are higher risk. </t>
  </si>
  <si>
    <t xml:space="preserve">Step 0: Calculator Tutorials</t>
  </si>
  <si>
    <r>
      <rPr>
        <b val="true"/>
        <u val="single"/>
        <sz val="12"/>
        <color rgb="FFFF0000"/>
        <rFont val="Arial"/>
        <family val="2"/>
        <charset val="1"/>
      </rPr>
      <t xml:space="preserve">Note</t>
    </r>
    <r>
      <rPr>
        <sz val="12"/>
        <color rgb="FFFF0000"/>
        <rFont val="Arial"/>
        <family val="2"/>
        <charset val="1"/>
      </rPr>
      <t xml:space="preserve">: Before proceeding, please watch the video tutorials listed to ensure accurate results from this tool!</t>
    </r>
  </si>
  <si>
    <t xml:space="preserve">Yes</t>
  </si>
  <si>
    <t xml:space="preserve">No</t>
  </si>
  <si>
    <t xml:space="preserve">Steps 1 &amp; 2: Operating Conditions, Current Limit, &amp; Circuit Breaker (7:41)</t>
  </si>
  <si>
    <t xml:space="preserve">Step 3: MOSFET Selection (9:58)</t>
  </si>
  <si>
    <t xml:space="preserve">Step 4: Startup (10:32)</t>
  </si>
  <si>
    <t xml:space="preserve">Step 5: UVLO, OVLO &amp; PGD Thresholds (4:20)</t>
  </si>
  <si>
    <t xml:space="preserve">LM5066I Datasheet</t>
  </si>
  <si>
    <r>
      <rPr>
        <b val="true"/>
        <sz val="11"/>
        <rFont val="Arial"/>
        <family val="2"/>
        <charset val="1"/>
      </rPr>
      <t xml:space="preserve">I understand and agree to watch the video tutorials if help is needed.</t>
    </r>
    <r>
      <rPr>
        <sz val="11"/>
        <rFont val="Arial"/>
        <family val="2"/>
        <charset val="1"/>
      </rPr>
      <t xml:space="preserve"> </t>
    </r>
    <r>
      <rPr>
        <sz val="10"/>
        <rFont val="Arial"/>
        <family val="2"/>
        <charset val="1"/>
      </rPr>
      <t xml:space="preserve">(Choose Yes to enable the calculator.)</t>
    </r>
  </si>
  <si>
    <t xml:space="preserve">Assure to follow the layout and application guidelines listed on the datasheet. </t>
  </si>
  <si>
    <t xml:space="preserve">*For additional questions not addressed in the videos, please post on E2E.ti.com</t>
  </si>
  <si>
    <t xml:space="preserve">Step 1: Operating Conditions</t>
  </si>
  <si>
    <r>
      <rPr>
        <sz val="10"/>
        <rFont val="Arial"/>
        <family val="2"/>
        <charset val="1"/>
      </rPr>
      <t xml:space="preserve">Minimum Input Operating Voltage: V</t>
    </r>
    <r>
      <rPr>
        <vertAlign val="subscript"/>
        <sz val="10"/>
        <rFont val="Arial"/>
        <family val="2"/>
        <charset val="1"/>
      </rPr>
      <t xml:space="preserve">IN(MIN)</t>
    </r>
  </si>
  <si>
    <t xml:space="preserve">V</t>
  </si>
  <si>
    <r>
      <rPr>
        <sz val="10"/>
        <rFont val="Arial"/>
        <family val="2"/>
        <charset val="1"/>
      </rPr>
      <t xml:space="preserve">Nominal Input Operating Voltage: V</t>
    </r>
    <r>
      <rPr>
        <vertAlign val="subscript"/>
        <sz val="10"/>
        <rFont val="Arial"/>
        <family val="2"/>
        <charset val="1"/>
      </rPr>
      <t xml:space="preserve">IN(NOM)</t>
    </r>
  </si>
  <si>
    <r>
      <rPr>
        <sz val="10"/>
        <rFont val="Arial"/>
        <family val="2"/>
        <charset val="1"/>
      </rPr>
      <t xml:space="preserve">Maximum Input Operating Voltage: V</t>
    </r>
    <r>
      <rPr>
        <vertAlign val="subscript"/>
        <sz val="10"/>
        <rFont val="Arial"/>
        <family val="2"/>
        <charset val="1"/>
      </rPr>
      <t xml:space="preserve">IN(MAX)</t>
    </r>
  </si>
  <si>
    <r>
      <rPr>
        <sz val="10"/>
        <rFont val="Arial"/>
        <family val="2"/>
        <charset val="1"/>
      </rPr>
      <t xml:space="preserve">Maximum Load Current: I</t>
    </r>
    <r>
      <rPr>
        <vertAlign val="subscript"/>
        <sz val="10"/>
        <rFont val="Arial"/>
        <family val="2"/>
        <charset val="1"/>
      </rPr>
      <t xml:space="preserve">OUT(MAX)</t>
    </r>
  </si>
  <si>
    <t xml:space="preserve">A</t>
  </si>
  <si>
    <r>
      <rPr>
        <sz val="10"/>
        <rFont val="Arial"/>
        <family val="2"/>
        <charset val="1"/>
      </rPr>
      <t xml:space="preserve">Maximum Output Load Capacitance: C</t>
    </r>
    <r>
      <rPr>
        <vertAlign val="subscript"/>
        <sz val="10"/>
        <rFont val="Arial"/>
        <family val="2"/>
        <charset val="1"/>
      </rPr>
      <t xml:space="preserve">LOAD</t>
    </r>
  </si>
  <si>
    <t xml:space="preserve">µF</t>
  </si>
  <si>
    <r>
      <rPr>
        <sz val="10"/>
        <rFont val="Arial"/>
        <family val="2"/>
        <charset val="1"/>
      </rPr>
      <t xml:space="preserve">Maximum Ambient Operating Temperature: T</t>
    </r>
    <r>
      <rPr>
        <vertAlign val="subscript"/>
        <sz val="10"/>
        <rFont val="Arial"/>
        <family val="2"/>
        <charset val="1"/>
      </rPr>
      <t xml:space="preserve">MAX</t>
    </r>
  </si>
  <si>
    <r>
      <rPr>
        <vertAlign val="superscript"/>
        <sz val="10"/>
        <rFont val="Arial"/>
        <family val="2"/>
        <charset val="1"/>
      </rPr>
      <t xml:space="preserve">o</t>
    </r>
    <r>
      <rPr>
        <sz val="10"/>
        <rFont val="Arial"/>
        <family val="2"/>
        <charset val="1"/>
      </rPr>
      <t xml:space="preserve">C</t>
    </r>
  </si>
  <si>
    <t xml:space="preserve">Steps 1 &amp; 2: Operating Conditions, Current Limit, &amp; Circuit Breaker</t>
  </si>
  <si>
    <t xml:space="preserve">Step 2: Current Limit and Circuit Breaker</t>
  </si>
  <si>
    <t xml:space="preserve">Current Limit Range (CL)</t>
  </si>
  <si>
    <t xml:space="preserve">26 mV</t>
  </si>
  <si>
    <t xml:space="preserve">Maximum Recommended Value for Effective Sense Resistance</t>
  </si>
  <si>
    <r>
      <rPr>
        <sz val="10"/>
        <rFont val="Arial"/>
        <family val="2"/>
        <charset val="1"/>
      </rPr>
      <t xml:space="preserve">m</t>
    </r>
    <r>
      <rPr>
        <sz val="10"/>
        <rFont val="Symbol"/>
        <family val="1"/>
        <charset val="2"/>
      </rPr>
      <t xml:space="preserve">W</t>
    </r>
  </si>
  <si>
    <t xml:space="preserve">50 mV</t>
  </si>
  <si>
    <r>
      <rPr>
        <sz val="10"/>
        <rFont val="Arial"/>
        <family val="2"/>
        <charset val="1"/>
      </rPr>
      <t xml:space="preserve">Use External Resistor Divider to Reduce Effecitve R</t>
    </r>
    <r>
      <rPr>
        <vertAlign val="subscript"/>
        <sz val="10"/>
        <rFont val="Arial"/>
        <family val="2"/>
        <charset val="1"/>
      </rPr>
      <t xml:space="preserve">S</t>
    </r>
  </si>
  <si>
    <r>
      <rPr>
        <sz val="10"/>
        <rFont val="Arial"/>
        <family val="2"/>
        <charset val="1"/>
      </rPr>
      <t xml:space="preserve">Enter the Resistance for R</t>
    </r>
    <r>
      <rPr>
        <vertAlign val="subscript"/>
        <sz val="10"/>
        <rFont val="Arial"/>
        <family val="2"/>
        <charset val="1"/>
      </rPr>
      <t xml:space="preserve">S</t>
    </r>
  </si>
  <si>
    <t xml:space="preserve">Recommended Value for RCL1</t>
  </si>
  <si>
    <t xml:space="preserve">W</t>
  </si>
  <si>
    <t xml:space="preserve">Recommended Value for RCL2</t>
  </si>
  <si>
    <t xml:space="preserve">Enter value for RCL1</t>
  </si>
  <si>
    <t xml:space="preserve">Enter value for RCL2</t>
  </si>
  <si>
    <r>
      <rPr>
        <sz val="10"/>
        <rFont val="Arial"/>
        <family val="2"/>
        <charset val="1"/>
      </rPr>
      <t xml:space="preserve">Effective Sense Resistance (R</t>
    </r>
    <r>
      <rPr>
        <vertAlign val="subscript"/>
        <sz val="10"/>
        <rFont val="Arial"/>
        <family val="2"/>
        <charset val="1"/>
      </rPr>
      <t xml:space="preserve">S,EFF</t>
    </r>
    <r>
      <rPr>
        <sz val="10"/>
        <rFont val="Arial"/>
        <family val="2"/>
        <charset val="1"/>
      </rPr>
      <t xml:space="preserve">)</t>
    </r>
  </si>
  <si>
    <t xml:space="preserve">Resulting Minimum Current Limit</t>
  </si>
  <si>
    <t xml:space="preserve">Resulting Typical Current Limit</t>
  </si>
  <si>
    <t xml:space="preserve">Resulting Maximum Current Limit</t>
  </si>
  <si>
    <t xml:space="preserve">Retry</t>
  </si>
  <si>
    <r>
      <rPr>
        <sz val="10"/>
        <rFont val="Arial"/>
        <family val="2"/>
        <charset val="1"/>
      </rPr>
      <t xml:space="preserve">Maximum Power Dissipation in R</t>
    </r>
    <r>
      <rPr>
        <vertAlign val="subscript"/>
        <sz val="10"/>
        <rFont val="Arial"/>
        <family val="2"/>
        <charset val="1"/>
      </rPr>
      <t xml:space="preserve">S</t>
    </r>
  </si>
  <si>
    <t xml:space="preserve">Latch Off</t>
  </si>
  <si>
    <t xml:space="preserve">Fault Response</t>
  </si>
  <si>
    <t xml:space="preserve">1.9 x Current Limit</t>
  </si>
  <si>
    <t xml:space="preserve">Circuit Breaker to Current Limit Raitio</t>
  </si>
  <si>
    <t xml:space="preserve">3.9 x Current Limit</t>
  </si>
  <si>
    <t xml:space="preserve">Step 3: MOSFET Selection</t>
  </si>
  <si>
    <t xml:space="preserve">Q1 FET Name</t>
  </si>
  <si>
    <t xml:space="preserve">PSMN4R8-100BSE</t>
  </si>
  <si>
    <t xml:space="preserve"># FETS</t>
  </si>
  <si>
    <r>
      <rPr>
        <sz val="10"/>
        <rFont val="Arial"/>
        <family val="2"/>
        <charset val="1"/>
      </rPr>
      <t xml:space="preserve">Estimated MOSFET R</t>
    </r>
    <r>
      <rPr>
        <sz val="10"/>
        <rFont val="Symbol"/>
        <family val="1"/>
        <charset val="2"/>
      </rPr>
      <t xml:space="preserve">Q</t>
    </r>
    <r>
      <rPr>
        <vertAlign val="subscript"/>
        <sz val="10"/>
        <rFont val="Arial"/>
        <family val="2"/>
        <charset val="1"/>
      </rPr>
      <t xml:space="preserve">JA</t>
    </r>
  </si>
  <si>
    <r>
      <rPr>
        <vertAlign val="superscript"/>
        <sz val="10"/>
        <rFont val="Arial"/>
        <family val="2"/>
        <charset val="1"/>
      </rPr>
      <t xml:space="preserve">o</t>
    </r>
    <r>
      <rPr>
        <sz val="10"/>
        <rFont val="Arial"/>
        <family val="2"/>
        <charset val="1"/>
      </rPr>
      <t xml:space="preserve">C/W</t>
    </r>
  </si>
  <si>
    <t xml:space="preserve">Number of MosFETs</t>
  </si>
  <si>
    <t xml:space="preserve">#</t>
  </si>
  <si>
    <t xml:space="preserve">Values Used</t>
  </si>
  <si>
    <r>
      <rPr>
        <sz val="10"/>
        <rFont val="Arial"/>
        <family val="2"/>
        <charset val="1"/>
      </rPr>
      <t xml:space="preserve">MOSFET On resistance @ T</t>
    </r>
    <r>
      <rPr>
        <vertAlign val="subscript"/>
        <sz val="10"/>
        <rFont val="Arial"/>
        <family val="2"/>
        <charset val="1"/>
      </rPr>
      <t xml:space="preserve">J,DC</t>
    </r>
  </si>
  <si>
    <t xml:space="preserve">Maximum FET Junction Temperature</t>
  </si>
  <si>
    <r>
      <rPr>
        <sz val="10"/>
        <rFont val="Arial"/>
        <family val="2"/>
        <charset val="1"/>
      </rPr>
      <t xml:space="preserve">100</t>
    </r>
    <r>
      <rPr>
        <sz val="10"/>
        <rFont val="Symbol"/>
        <family val="1"/>
        <charset val="2"/>
      </rPr>
      <t xml:space="preserve">m</t>
    </r>
    <r>
      <rPr>
        <sz val="10"/>
        <rFont val="Arial"/>
        <family val="2"/>
        <charset val="1"/>
      </rPr>
      <t xml:space="preserve">s SOA Current (re-use 1ms data if unavailable) @ V</t>
    </r>
    <r>
      <rPr>
        <vertAlign val="subscript"/>
        <sz val="10"/>
        <rFont val="Arial"/>
        <family val="2"/>
        <charset val="1"/>
      </rPr>
      <t xml:space="preserve">IN(MAX)</t>
    </r>
  </si>
  <si>
    <r>
      <rPr>
        <sz val="10"/>
        <rFont val="Arial"/>
        <family val="2"/>
        <charset val="1"/>
      </rPr>
      <t xml:space="preserve">1ms SOA Current @ V</t>
    </r>
    <r>
      <rPr>
        <vertAlign val="subscript"/>
        <sz val="10"/>
        <rFont val="Arial"/>
        <family val="2"/>
        <charset val="1"/>
      </rPr>
      <t xml:space="preserve">IN(MAX)</t>
    </r>
  </si>
  <si>
    <r>
      <rPr>
        <sz val="10"/>
        <rFont val="Arial"/>
        <family val="2"/>
        <charset val="1"/>
      </rPr>
      <t xml:space="preserve">10ms SOA Current @ V</t>
    </r>
    <r>
      <rPr>
        <vertAlign val="subscript"/>
        <sz val="10"/>
        <rFont val="Arial"/>
        <family val="2"/>
        <charset val="1"/>
      </rPr>
      <t xml:space="preserve">IN(MAX)</t>
    </r>
  </si>
  <si>
    <r>
      <rPr>
        <sz val="10"/>
        <rFont val="Arial"/>
        <family val="2"/>
        <charset val="1"/>
      </rPr>
      <t xml:space="preserve">100ms  Current at @ V</t>
    </r>
    <r>
      <rPr>
        <vertAlign val="subscript"/>
        <sz val="10"/>
        <rFont val="Arial"/>
        <family val="2"/>
        <charset val="1"/>
      </rPr>
      <t xml:space="preserve">IN(MAX)</t>
    </r>
    <r>
      <rPr>
        <sz val="10"/>
        <rFont val="Arial"/>
        <family val="2"/>
        <charset val="1"/>
      </rPr>
      <t xml:space="preserve"> (enter 'NA' if not available)</t>
    </r>
  </si>
  <si>
    <r>
      <rPr>
        <sz val="10"/>
        <rFont val="Arial"/>
        <family val="2"/>
        <charset val="1"/>
      </rPr>
      <t xml:space="preserve">1s or DC SOA Current at @ V</t>
    </r>
    <r>
      <rPr>
        <vertAlign val="subscript"/>
        <sz val="10"/>
        <rFont val="Arial"/>
        <family val="2"/>
        <charset val="1"/>
      </rPr>
      <t xml:space="preserve">IN(MAX)</t>
    </r>
    <r>
      <rPr>
        <sz val="10"/>
        <rFont val="Arial"/>
        <family val="2"/>
        <charset val="1"/>
      </rPr>
      <t xml:space="preserve"> (enter 'NA' if not available)</t>
    </r>
  </si>
  <si>
    <t xml:space="preserve">Note: TI recommends choosing a FET with SOA current specified for 100ms and/or 1s or DC. If choosing a FET without these parameters, this calculator will estimate the values via extrapolation, which leaves an inherent associated risk.</t>
  </si>
  <si>
    <t xml:space="preserve">FET Power dissapation at full load (per FET)</t>
  </si>
  <si>
    <r>
      <rPr>
        <sz val="10"/>
        <rFont val="Arial"/>
        <family val="2"/>
        <charset val="1"/>
      </rPr>
      <t xml:space="preserve">Maximum steady state FET Junction Temperature (T</t>
    </r>
    <r>
      <rPr>
        <vertAlign val="subscript"/>
        <sz val="10"/>
        <rFont val="Arial"/>
        <family val="2"/>
        <charset val="1"/>
      </rPr>
      <t xml:space="preserve">J,DC</t>
    </r>
    <r>
      <rPr>
        <sz val="10"/>
        <rFont val="Arial"/>
        <family val="2"/>
        <charset val="1"/>
      </rPr>
      <t xml:space="preserve">)</t>
    </r>
  </si>
  <si>
    <r>
      <rPr>
        <sz val="10"/>
        <rFont val="Arial"/>
        <family val="2"/>
        <charset val="1"/>
      </rPr>
      <t xml:space="preserve">Minimum Power Limit to Ensure Vsns &gt; 4mV (P</t>
    </r>
    <r>
      <rPr>
        <vertAlign val="subscript"/>
        <sz val="10"/>
        <rFont val="Arial"/>
        <family val="2"/>
        <charset val="1"/>
      </rPr>
      <t xml:space="preserve">LIM,MIN</t>
    </r>
    <r>
      <rPr>
        <sz val="10"/>
        <rFont val="Arial"/>
        <family val="2"/>
        <charset val="1"/>
      </rPr>
      <t xml:space="preserve">)</t>
    </r>
  </si>
  <si>
    <t xml:space="preserve">Target Power Limit</t>
  </si>
  <si>
    <r>
      <rPr>
        <sz val="10"/>
        <rFont val="Arial"/>
        <family val="2"/>
        <charset val="1"/>
      </rPr>
      <t xml:space="preserve">Calculated R</t>
    </r>
    <r>
      <rPr>
        <vertAlign val="subscript"/>
        <sz val="10"/>
        <rFont val="Arial"/>
        <family val="2"/>
        <charset val="1"/>
      </rPr>
      <t xml:space="preserve">PWR</t>
    </r>
  </si>
  <si>
    <r>
      <rPr>
        <sz val="10"/>
        <rFont val="Arial"/>
        <family val="2"/>
        <charset val="1"/>
      </rPr>
      <t xml:space="preserve">k</t>
    </r>
    <r>
      <rPr>
        <sz val="10"/>
        <rFont val="Symbol"/>
        <family val="1"/>
        <charset val="2"/>
      </rPr>
      <t xml:space="preserve">W</t>
    </r>
  </si>
  <si>
    <r>
      <rPr>
        <sz val="10"/>
        <rFont val="Arial"/>
        <family val="2"/>
        <charset val="1"/>
      </rPr>
      <t xml:space="preserve">Actual R</t>
    </r>
    <r>
      <rPr>
        <vertAlign val="subscript"/>
        <sz val="10"/>
        <rFont val="Arial"/>
        <family val="2"/>
        <charset val="1"/>
      </rPr>
      <t xml:space="preserve">PWR</t>
    </r>
  </si>
  <si>
    <r>
      <rPr>
        <b val="true"/>
        <u val="single"/>
        <sz val="10"/>
        <color rgb="FFFF0000"/>
        <rFont val="Arial"/>
        <family val="2"/>
        <charset val="1"/>
      </rPr>
      <t xml:space="preserve">Note:</t>
    </r>
    <r>
      <rPr>
        <b val="true"/>
        <sz val="10"/>
        <color rgb="FFFF0000"/>
        <rFont val="Arial"/>
        <family val="2"/>
        <charset val="1"/>
      </rPr>
      <t xml:space="preserve"> Hover here to see the 3 values affecting this curve, consult a thermal expert if you are unsure! </t>
    </r>
  </si>
  <si>
    <t xml:space="preserve">Actual PLIM</t>
  </si>
  <si>
    <t xml:space="preserve">Step 4: Startup</t>
  </si>
  <si>
    <t xml:space="preserve">Load Turn-On Threshold</t>
  </si>
  <si>
    <t xml:space="preserve">Startup Load Type</t>
  </si>
  <si>
    <t xml:space="preserve">Constant Current</t>
  </si>
  <si>
    <t xml:space="preserve">Startup Load Value</t>
  </si>
  <si>
    <t xml:space="preserve">Use External Soft-Start Control (dv/dt)</t>
  </si>
  <si>
    <t xml:space="preserve">Resistive</t>
  </si>
  <si>
    <t xml:space="preserve">Typical Start Time with Vinmax (Tstart)</t>
  </si>
  <si>
    <t xml:space="preserve">ms</t>
  </si>
  <si>
    <t xml:space="preserve">IFET - ILOAD margin (lowest for Vout range)</t>
  </si>
  <si>
    <t xml:space="preserve">Target Fault Timer: Tstart + Margin</t>
  </si>
  <si>
    <t xml:space="preserve">Target Timer capacitance</t>
  </si>
  <si>
    <t xml:space="preserve">nF</t>
  </si>
  <si>
    <t xml:space="preserve">Selected Timer capacitance </t>
  </si>
  <si>
    <t xml:space="preserve">Final Fault Timer(Tfault)</t>
  </si>
  <si>
    <t xml:space="preserve">Derated SOA / PLIM</t>
  </si>
  <si>
    <t xml:space="preserve">Can a "hot" board be hotplugged</t>
  </si>
  <si>
    <t xml:space="preserve">Recommended slew Rate (max)</t>
  </si>
  <si>
    <t xml:space="preserve">V/ms</t>
  </si>
  <si>
    <t xml:space="preserve">Recommended slew Rate (min)</t>
  </si>
  <si>
    <t xml:space="preserve">dv/dt rate on Vout</t>
  </si>
  <si>
    <t xml:space="preserve">calculated SS capacitance</t>
  </si>
  <si>
    <t xml:space="preserve">Note: This is the typical dv/dt rate, but max value can be 2x. This is because the gate source current can vary from 20uA to 40uA. Thus TI recommends keeping the overall SOA margin during start-up &gt;1.5 in order to compensate for this.</t>
  </si>
  <si>
    <t xml:space="preserve">actual SS capacitance</t>
  </si>
  <si>
    <t xml:space="preserve">actual typical dv/dt rate on Vout</t>
  </si>
  <si>
    <t xml:space="preserve">SOA margin during start-up</t>
  </si>
  <si>
    <t xml:space="preserve">Target Fault Time</t>
  </si>
  <si>
    <t xml:space="preserve">Calculated Timer Capacitance </t>
  </si>
  <si>
    <r>
      <rPr>
        <sz val="10"/>
        <rFont val="Arial"/>
        <family val="2"/>
        <charset val="1"/>
      </rPr>
      <t xml:space="preserve">Actual Timer Capacitance ( pick one smaller than C</t>
    </r>
    <r>
      <rPr>
        <vertAlign val="subscript"/>
        <sz val="10"/>
        <rFont val="Arial"/>
        <family val="2"/>
        <charset val="1"/>
      </rPr>
      <t xml:space="preserve">T,CALC</t>
    </r>
    <r>
      <rPr>
        <sz val="10"/>
        <rFont val="Arial"/>
        <family val="2"/>
        <charset val="1"/>
      </rPr>
      <t xml:space="preserve">) </t>
    </r>
  </si>
  <si>
    <t xml:space="preserve">Actual Fault Time (Tfault)</t>
  </si>
  <si>
    <t xml:space="preserve"> </t>
  </si>
  <si>
    <t xml:space="preserve">SOA margin during "hot-short" or "start-into short"</t>
  </si>
  <si>
    <t xml:space="preserve">Resulting Typical Insertion Delay Time</t>
  </si>
  <si>
    <t xml:space="preserve">Resulting Typical Restart Time</t>
  </si>
  <si>
    <t xml:space="preserve">Step 5: UVLO, OVLO &amp; PGD Thresholds</t>
  </si>
  <si>
    <t xml:space="preserve">Select Option A or Option B</t>
  </si>
  <si>
    <t xml:space="preserve">Option B</t>
  </si>
  <si>
    <t xml:space="preserve">Option A</t>
  </si>
  <si>
    <t xml:space="preserve">Desired Upper UVLO Threshold</t>
  </si>
  <si>
    <t xml:space="preserve">Desired Lower UVLO Threshold</t>
  </si>
  <si>
    <t xml:space="preserve">Option C</t>
  </si>
  <si>
    <t xml:space="preserve">Desired Upper OVLO Threshold</t>
  </si>
  <si>
    <t xml:space="preserve">Option D</t>
  </si>
  <si>
    <t xml:space="preserve">Desired Lower OVLO Threshold</t>
  </si>
  <si>
    <t xml:space="preserve">Recommended Resistance for:  R1</t>
  </si>
  <si>
    <t xml:space="preserve">R2</t>
  </si>
  <si>
    <t xml:space="preserve">R3</t>
  </si>
  <si>
    <t xml:space="preserve">R4</t>
  </si>
  <si>
    <t xml:space="preserve">Enter the Resistance for R1 </t>
  </si>
  <si>
    <t xml:space="preserve">Enter the Resistance for R2 </t>
  </si>
  <si>
    <t xml:space="preserve">Enter the Resistance for R3 </t>
  </si>
  <si>
    <t xml:space="preserve">Enter the Resistance for R4 </t>
  </si>
  <si>
    <t xml:space="preserve">Resulting Thresholds:</t>
  </si>
  <si>
    <t xml:space="preserve">Minimum</t>
  </si>
  <si>
    <t xml:space="preserve">Typical</t>
  </si>
  <si>
    <t xml:space="preserve">Maximum</t>
  </si>
  <si>
    <t xml:space="preserve">Resulting Upper UVLO Threshold = </t>
  </si>
  <si>
    <t xml:space="preserve">Resulting Lower UVLO Threshold = </t>
  </si>
  <si>
    <t xml:space="preserve">Resulting Upper OVLO Threshold = </t>
  </si>
  <si>
    <t xml:space="preserve">Resulting Lower OVLO Threshold = </t>
  </si>
  <si>
    <t xml:space="preserve">Note: If any of the cells above are yellow, then these values are outside of the device's operating range. This will result in the device turning either on or off at its operating limits rather than at the user selected values in yellow.</t>
  </si>
  <si>
    <r>
      <rPr>
        <sz val="10"/>
        <rFont val="Arial"/>
        <family val="2"/>
        <charset val="1"/>
      </rPr>
      <t xml:space="preserve">Enter the Resistance for R</t>
    </r>
    <r>
      <rPr>
        <vertAlign val="subscript"/>
        <sz val="10"/>
        <rFont val="Arial"/>
        <family val="2"/>
        <charset val="1"/>
      </rPr>
      <t xml:space="preserve">PG</t>
    </r>
  </si>
  <si>
    <t xml:space="preserve">Desired PGD Rising Threshold</t>
  </si>
  <si>
    <t xml:space="preserve">Desired PGD Hysteresis</t>
  </si>
  <si>
    <t xml:space="preserve">Recommended Resistance for:  R5</t>
  </si>
  <si>
    <t xml:space="preserve">R6</t>
  </si>
  <si>
    <t xml:space="preserve">Enter Resistance for: R5</t>
  </si>
  <si>
    <t xml:space="preserve">Nominal PGD Rising Threhold</t>
  </si>
  <si>
    <t xml:space="preserve">Nominal PGD Hysteresis</t>
  </si>
  <si>
    <t xml:space="preserve">Design Summary</t>
  </si>
  <si>
    <r>
      <rPr>
        <sz val="11"/>
        <color rgb="FF000000"/>
        <rFont val="Arial"/>
        <family val="2"/>
        <charset val="1"/>
      </rPr>
      <t xml:space="preserve">R</t>
    </r>
    <r>
      <rPr>
        <vertAlign val="subscript"/>
        <sz val="11"/>
        <color rgb="FF000000"/>
        <rFont val="Arial"/>
        <family val="2"/>
        <charset val="1"/>
      </rPr>
      <t xml:space="preserve">SNS</t>
    </r>
    <r>
      <rPr>
        <sz val="11"/>
        <color rgb="FF000000"/>
        <rFont val="Arial"/>
        <family val="2"/>
        <charset val="1"/>
      </rPr>
      <t xml:space="preserve"> =</t>
    </r>
  </si>
  <si>
    <r>
      <rPr>
        <sz val="11"/>
        <color rgb="FF000000"/>
        <rFont val="Arial"/>
        <family val="2"/>
        <charset val="1"/>
      </rPr>
      <t xml:space="preserve">R</t>
    </r>
    <r>
      <rPr>
        <vertAlign val="subscript"/>
        <sz val="11"/>
        <color rgb="FF000000"/>
        <rFont val="Arial"/>
        <family val="2"/>
        <charset val="1"/>
      </rPr>
      <t xml:space="preserve">CL1</t>
    </r>
    <r>
      <rPr>
        <sz val="11"/>
        <color rgb="FF000000"/>
        <rFont val="Arial"/>
        <family val="2"/>
        <charset val="1"/>
      </rPr>
      <t xml:space="preserve"> =</t>
    </r>
  </si>
  <si>
    <r>
      <rPr>
        <sz val="11"/>
        <color rgb="FF000000"/>
        <rFont val="Arial"/>
        <family val="2"/>
        <charset val="1"/>
      </rPr>
      <t xml:space="preserve">R</t>
    </r>
    <r>
      <rPr>
        <vertAlign val="subscript"/>
        <sz val="11"/>
        <color rgb="FF000000"/>
        <rFont val="Arial"/>
        <family val="2"/>
        <charset val="1"/>
      </rPr>
      <t xml:space="preserve">CL2</t>
    </r>
    <r>
      <rPr>
        <sz val="11"/>
        <color rgb="FF000000"/>
        <rFont val="Arial"/>
        <family val="2"/>
        <charset val="1"/>
      </rPr>
      <t xml:space="preserve"> =</t>
    </r>
  </si>
  <si>
    <r>
      <rPr>
        <sz val="10"/>
        <rFont val="Arial"/>
        <family val="0"/>
        <charset val="1"/>
      </rPr>
      <t xml:space="preserve">R</t>
    </r>
    <r>
      <rPr>
        <vertAlign val="subscript"/>
        <sz val="10"/>
        <rFont val="Arial"/>
        <family val="2"/>
        <charset val="1"/>
      </rPr>
      <t xml:space="preserve">PWR</t>
    </r>
    <r>
      <rPr>
        <sz val="10"/>
        <rFont val="Arial"/>
        <family val="2"/>
        <charset val="1"/>
      </rPr>
      <t xml:space="preserve"> =</t>
    </r>
  </si>
  <si>
    <t xml:space="preserve">Settings</t>
  </si>
  <si>
    <t xml:space="preserve">Units</t>
  </si>
  <si>
    <r>
      <rPr>
        <sz val="10"/>
        <rFont val="Arial"/>
        <family val="2"/>
        <charset val="1"/>
      </rPr>
      <t xml:space="preserve">C</t>
    </r>
    <r>
      <rPr>
        <vertAlign val="subscript"/>
        <sz val="10"/>
        <rFont val="Arial"/>
        <family val="2"/>
        <charset val="1"/>
      </rPr>
      <t xml:space="preserve">TIMER</t>
    </r>
    <r>
      <rPr>
        <sz val="10"/>
        <rFont val="Arial"/>
        <family val="2"/>
        <charset val="1"/>
      </rPr>
      <t xml:space="preserve"> =</t>
    </r>
  </si>
  <si>
    <t xml:space="preserve">Current limit</t>
  </si>
  <si>
    <t xml:space="preserve">R1 =</t>
  </si>
  <si>
    <t xml:space="preserve">Power Limit</t>
  </si>
  <si>
    <t xml:space="preserve">R2 =</t>
  </si>
  <si>
    <t xml:space="preserve">Circuit Breaker Threshold</t>
  </si>
  <si>
    <t xml:space="preserve">R3 =</t>
  </si>
  <si>
    <t xml:space="preserve">Startup Time</t>
  </si>
  <si>
    <t xml:space="preserve">R4 =</t>
  </si>
  <si>
    <t xml:space="preserve">Insertion Delay</t>
  </si>
  <si>
    <t xml:space="preserve">R5 =</t>
  </si>
  <si>
    <t xml:space="preserve">Fault Timeout</t>
  </si>
  <si>
    <t xml:space="preserve">R6 =</t>
  </si>
  <si>
    <t xml:space="preserve">Restart Time During Fault</t>
  </si>
  <si>
    <r>
      <rPr>
        <sz val="10"/>
        <rFont val="Arial"/>
        <family val="2"/>
        <charset val="1"/>
      </rPr>
      <t xml:space="preserve">C</t>
    </r>
    <r>
      <rPr>
        <vertAlign val="subscript"/>
        <sz val="10"/>
        <rFont val="Arial"/>
        <family val="2"/>
        <charset val="1"/>
      </rPr>
      <t xml:space="preserve">dv/dt</t>
    </r>
    <r>
      <rPr>
        <sz val="10"/>
        <rFont val="Arial"/>
        <family val="2"/>
        <charset val="1"/>
      </rPr>
      <t xml:space="preserve"> =</t>
    </r>
  </si>
  <si>
    <t xml:space="preserve">Upper UVLO Threshold</t>
  </si>
  <si>
    <r>
      <rPr>
        <sz val="10"/>
        <rFont val="Arial"/>
        <family val="0"/>
        <charset val="1"/>
      </rPr>
      <t xml:space="preserve">C</t>
    </r>
    <r>
      <rPr>
        <vertAlign val="subscript"/>
        <sz val="10"/>
        <rFont val="Arial"/>
        <family val="2"/>
        <charset val="1"/>
      </rPr>
      <t xml:space="preserve">IN</t>
    </r>
    <r>
      <rPr>
        <sz val="10"/>
        <rFont val="Arial"/>
        <family val="2"/>
        <charset val="1"/>
      </rPr>
      <t xml:space="preserve"> = </t>
    </r>
  </si>
  <si>
    <t xml:space="preserve">Lower UVLO Threshold</t>
  </si>
  <si>
    <r>
      <rPr>
        <sz val="10"/>
        <rFont val="Arial"/>
        <family val="2"/>
        <charset val="1"/>
      </rPr>
      <t xml:space="preserve">C</t>
    </r>
    <r>
      <rPr>
        <vertAlign val="subscript"/>
        <sz val="10"/>
        <rFont val="Arial"/>
        <family val="2"/>
        <charset val="1"/>
      </rPr>
      <t xml:space="preserve">VDD</t>
    </r>
    <r>
      <rPr>
        <sz val="10"/>
        <rFont val="Arial"/>
        <family val="2"/>
        <charset val="1"/>
      </rPr>
      <t xml:space="preserve"> =</t>
    </r>
  </si>
  <si>
    <t xml:space="preserve">Upper OVLO Threshold</t>
  </si>
  <si>
    <r>
      <rPr>
        <sz val="10"/>
        <rFont val="Arial"/>
        <family val="2"/>
        <charset val="1"/>
      </rPr>
      <t xml:space="preserve">C</t>
    </r>
    <r>
      <rPr>
        <vertAlign val="subscript"/>
        <sz val="10"/>
        <rFont val="Arial"/>
        <family val="2"/>
        <charset val="1"/>
      </rPr>
      <t xml:space="preserve">VREF</t>
    </r>
    <r>
      <rPr>
        <sz val="10"/>
        <rFont val="Arial"/>
        <family val="2"/>
        <charset val="1"/>
      </rPr>
      <t xml:space="preserve"> =</t>
    </r>
  </si>
  <si>
    <t xml:space="preserve">Lower OVLO Threshold</t>
  </si>
  <si>
    <t xml:space="preserve">Connect CL Pin to</t>
  </si>
  <si>
    <t xml:space="preserve">PGD Threshold</t>
  </si>
  <si>
    <t xml:space="preserve">Connect CB Pin to</t>
  </si>
  <si>
    <t xml:space="preserve">PGD Hystersis</t>
  </si>
  <si>
    <t xml:space="preserve">Connect /Retry to</t>
  </si>
  <si>
    <t xml:space="preserve">D1</t>
  </si>
  <si>
    <t xml:space="preserve">B380-13-F</t>
  </si>
  <si>
    <t xml:space="preserve">D2</t>
  </si>
  <si>
    <t xml:space="preserve">Q1</t>
  </si>
  <si>
    <t xml:space="preserve">Q2</t>
  </si>
  <si>
    <t xml:space="preserve">MMBT3904</t>
  </si>
  <si>
    <t xml:space="preserve">Q3</t>
  </si>
  <si>
    <t xml:space="preserve">Z1</t>
  </si>
  <si>
    <t xml:space="preserve">5.0SMDJxx</t>
  </si>
  <si>
    <t xml:space="preserve">Notes:</t>
  </si>
  <si>
    <r>
      <rPr>
        <sz val="10"/>
        <rFont val="Arial"/>
        <family val="2"/>
        <charset val="1"/>
      </rPr>
      <t xml:space="preserve">1. Although not mandatory, C</t>
    </r>
    <r>
      <rPr>
        <vertAlign val="subscript"/>
        <sz val="10"/>
        <rFont val="Arial"/>
        <family val="2"/>
        <charset val="1"/>
      </rPr>
      <t xml:space="preserve">IN</t>
    </r>
    <r>
      <rPr>
        <sz val="10"/>
        <rFont val="Arial"/>
        <family val="2"/>
        <charset val="1"/>
      </rPr>
      <t xml:space="preserve"> provides transient suppression at the VIN pin</t>
    </r>
  </si>
  <si>
    <t xml:space="preserve">2. A TVS clamp from VIN to GND is absolutely mandatory to clamp the voltage overshoot upon MOSFET turn-off, e.g. during circuit breaker</t>
  </si>
  <si>
    <t xml:space="preserve">3. Componet tolerances not accounted for in Min/Max Calculations.</t>
  </si>
  <si>
    <t xml:space="preserve">Min</t>
  </si>
  <si>
    <t xml:space="preserve">Typ</t>
  </si>
  <si>
    <t xml:space="preserve">Max</t>
  </si>
  <si>
    <t xml:space="preserve">Operating Conditions</t>
  </si>
  <si>
    <t xml:space="preserve">Junction Temperature</t>
  </si>
  <si>
    <t xml:space="preserve">Input Voltage</t>
  </si>
  <si>
    <t xml:space="preserve">Current Limit</t>
  </si>
  <si>
    <t xml:space="preserve">Threshold Voltage CL = VDD</t>
  </si>
  <si>
    <t xml:space="preserve">Threshold Voltage CL = GND</t>
  </si>
  <si>
    <t xml:space="preserve">Sense input Current</t>
  </si>
  <si>
    <t xml:space="preserve">uA</t>
  </si>
  <si>
    <t xml:space="preserve">Systematic Offset</t>
  </si>
  <si>
    <t xml:space="preserve">Minimum Recommended Vsns</t>
  </si>
  <si>
    <t xml:space="preserve">&lt;= I am assuming this would have +/- 50% error at best</t>
  </si>
  <si>
    <t xml:space="preserve">A_coeff</t>
  </si>
  <si>
    <t xml:space="preserve">Key Equations: </t>
  </si>
  <si>
    <t xml:space="preserve">Vsns = Rpwr / (A*Vds) + Vos,syst</t>
  </si>
  <si>
    <t xml:space="preserve">Example: </t>
  </si>
  <si>
    <t xml:space="preserve">Vds</t>
  </si>
  <si>
    <t xml:space="preserve">Rpwr</t>
  </si>
  <si>
    <t xml:space="preserve">Rsns (m-ohm)</t>
  </si>
  <si>
    <t xml:space="preserve">Plim</t>
  </si>
  <si>
    <t xml:space="preserve">Vsns (mV)</t>
  </si>
  <si>
    <t xml:space="preserve">Plim (Vds) = 1/Rs * [ Rpwr/A + Vds * Vos, syst=</t>
  </si>
  <si>
    <t xml:space="preserve">Rpwr =  A * [PLIM(Vds) * Rs - 0.043]</t>
  </si>
  <si>
    <t xml:space="preserve">How Plim varries vs Vds:</t>
  </si>
  <si>
    <t xml:space="preserve">Ex: Plim @ 13V = 100W, Rs = 0.5; Plim @ (Vds = 5V) = 100W - 7V * 1mV/0.5mili-ohm = 100W - 14W = 86W</t>
  </si>
  <si>
    <t xml:space="preserve">Timer</t>
  </si>
  <si>
    <t xml:space="preserve">Upper Threshold</t>
  </si>
  <si>
    <t xml:space="preserve">Insertion Time Current</t>
  </si>
  <si>
    <t xml:space="preserve">timer_constant</t>
  </si>
  <si>
    <t xml:space="preserve">Fault detection current</t>
  </si>
  <si>
    <t xml:space="preserve">Computed Start - Up Slop</t>
  </si>
  <si>
    <t xml:space="preserve">&lt;= mean root square(T_start_error_Plim, timer_error, cap_error); T_start proportional to 1/Plim =&gt; T_start_error_plim = 1/(1-Plim_err) - 1 = 1/(1-0.4) - 1 = 0.66</t>
  </si>
  <si>
    <t xml:space="preserve">Slop for calculations</t>
  </si>
  <si>
    <t xml:space="preserve">Note: We get additional buffer, b/c this is designed for a Vinmax, while typically Vin = Vinnom</t>
  </si>
  <si>
    <t xml:space="preserve">Gate</t>
  </si>
  <si>
    <t xml:space="preserve">Gate Sourcing Current</t>
  </si>
  <si>
    <t xml:space="preserve">Circuit Breaker</t>
  </si>
  <si>
    <t xml:space="preserve">26mV</t>
  </si>
  <si>
    <t xml:space="preserve">50mV</t>
  </si>
  <si>
    <t xml:space="preserve">1.9 x Threshold</t>
  </si>
  <si>
    <t xml:space="preserve">1.9x CB:CL Ratio</t>
  </si>
  <si>
    <t xml:space="preserve">3.9 x Threshold</t>
  </si>
  <si>
    <t xml:space="preserve">3.9x CB:CL Ratio</t>
  </si>
  <si>
    <t xml:space="preserve">Timer Pin</t>
  </si>
  <si>
    <t xml:space="preserve">Lower Threshold (Restart)</t>
  </si>
  <si>
    <t xml:space="preserve">End of Cycle</t>
  </si>
  <si>
    <t xml:space="preserve">Re-enable threshold</t>
  </si>
  <si>
    <t xml:space="preserve">Insertion time current</t>
  </si>
  <si>
    <t xml:space="preserve">Sink current, end of insertion</t>
  </si>
  <si>
    <t xml:space="preserve">Fault sink current</t>
  </si>
  <si>
    <t xml:space="preserve">Power Good</t>
  </si>
  <si>
    <t xml:space="preserve">PGVOL</t>
  </si>
  <si>
    <t xml:space="preserve">mV</t>
  </si>
  <si>
    <t xml:space="preserve">mA sinking</t>
  </si>
  <si>
    <t xml:space="preserve">FB Pin</t>
  </si>
  <si>
    <t xml:space="preserve">FB Threshold</t>
  </si>
  <si>
    <t xml:space="preserve">FB Hysteresis Current</t>
  </si>
  <si>
    <t xml:space="preserve">CLMIN =</t>
  </si>
  <si>
    <t xml:space="preserve">CLNOM = </t>
  </si>
  <si>
    <t xml:space="preserve">CLMAX =</t>
  </si>
  <si>
    <t xml:space="preserve">Max Rs =</t>
  </si>
  <si>
    <t xml:space="preserve">RCL1 Recommended  =</t>
  </si>
  <si>
    <t xml:space="preserve">RCL2 Recommmended =</t>
  </si>
  <si>
    <t xml:space="preserve">Effective Rs =</t>
  </si>
  <si>
    <t xml:space="preserve">Min. Current limit =</t>
  </si>
  <si>
    <t xml:space="preserve">Typ. Current limit =</t>
  </si>
  <si>
    <t xml:space="preserve">Max. Current limit =</t>
  </si>
  <si>
    <t xml:space="preserve">Rs Power Diss. =</t>
  </si>
  <si>
    <t xml:space="preserve">CB threshold: </t>
  </si>
  <si>
    <t xml:space="preserve">CB threshold </t>
  </si>
  <si>
    <t xml:space="preserve">FET Selection</t>
  </si>
  <si>
    <t xml:space="preserve">Nominal</t>
  </si>
  <si>
    <t xml:space="preserve">Derated at TJ</t>
  </si>
  <si>
    <t xml:space="preserve">100ms SOA Current Maximum Input Voltage</t>
  </si>
  <si>
    <t xml:space="preserve">1ms SOA Current Maximum Input Voltage</t>
  </si>
  <si>
    <t xml:space="preserve">10ms SOA Current Maximum Input Voltage</t>
  </si>
  <si>
    <t xml:space="preserve">100ms or DC SOA Current at Maximum Input Voltage</t>
  </si>
  <si>
    <t xml:space="preserve">Minimum Power Limit=</t>
  </si>
  <si>
    <t xml:space="preserve">Target PLIM</t>
  </si>
  <si>
    <t xml:space="preserve">k-ohm</t>
  </si>
  <si>
    <t xml:space="preserve">Rpwr actual</t>
  </si>
  <si>
    <t xml:space="preserve">Final Plim</t>
  </si>
  <si>
    <t xml:space="preserve">Resulting Typical Power Limit =</t>
  </si>
  <si>
    <t xml:space="preserve">   24% tolerance used in this calculation.</t>
  </si>
  <si>
    <t xml:space="preserve">Resulting Minimum Power Limit =</t>
  </si>
  <si>
    <t xml:space="preserve">Resulting Maximum Power Limit =</t>
  </si>
  <si>
    <t xml:space="preserve">Startup</t>
  </si>
  <si>
    <t xml:space="preserve">With PLIM</t>
  </si>
  <si>
    <t xml:space="preserve">Typical Start time</t>
  </si>
  <si>
    <t xml:space="preserve">Start-slop</t>
  </si>
  <si>
    <t xml:space="preserve">Target Fault Timer</t>
  </si>
  <si>
    <t xml:space="preserve">Selected Timer capacitance</t>
  </si>
  <si>
    <t xml:space="preserve">Final Fault Timer</t>
  </si>
  <si>
    <t xml:space="preserve">SOA / PLIM</t>
  </si>
  <si>
    <t xml:space="preserve">With SS</t>
  </si>
  <si>
    <t xml:space="preserve">dv/dt rate</t>
  </si>
  <si>
    <t xml:space="preserve">actual dv/dt rate</t>
  </si>
  <si>
    <t xml:space="preserve">I_Cout</t>
  </si>
  <si>
    <t xml:space="preserve">typical start time</t>
  </si>
  <si>
    <t xml:space="preserve">FET Energy dissipated at start-up (EFET)</t>
  </si>
  <si>
    <t xml:space="preserve">J</t>
  </si>
  <si>
    <t xml:space="preserve">Peak Power dissipated  during start-up (PFET)</t>
  </si>
  <si>
    <t xml:space="preserve">Equivalent time at peak power - EFET/PFET (t_power)</t>
  </si>
  <si>
    <t xml:space="preserve">Available SOA for t_power at Vinmax</t>
  </si>
  <si>
    <t xml:space="preserve">SOA margin</t>
  </si>
  <si>
    <t xml:space="preserve">Covering hot-short, start-into short for SS</t>
  </si>
  <si>
    <t xml:space="preserve">Actual Timer Capacitance</t>
  </si>
  <si>
    <t xml:space="preserve">Available derated SOA for Tfault</t>
  </si>
  <si>
    <t xml:space="preserve">  10% margin added in this calculation</t>
  </si>
  <si>
    <t xml:space="preserve">UVLO upper is F40</t>
  </si>
  <si>
    <t xml:space="preserve">R1 is F48</t>
  </si>
  <si>
    <t xml:space="preserve">V/S</t>
  </si>
  <si>
    <t xml:space="preserve">Min Insertion time =</t>
  </si>
  <si>
    <t xml:space="preserve">Typ. Insertion time =</t>
  </si>
  <si>
    <t xml:space="preserve">Max Insertion time =</t>
  </si>
  <si>
    <t xml:space="preserve">Min Restart time = </t>
  </si>
  <si>
    <t xml:space="preserve">Typ. Restart time =</t>
  </si>
  <si>
    <t xml:space="preserve">Max Restart time =</t>
  </si>
  <si>
    <t xml:space="preserve">Min PG Threshold =</t>
  </si>
  <si>
    <t xml:space="preserve">Nom PG Threshold =</t>
  </si>
  <si>
    <t xml:space="preserve">Max PG Threshold =</t>
  </si>
  <si>
    <t xml:space="preserve">Min PG Hysteresis =</t>
  </si>
  <si>
    <t xml:space="preserve">Nom PG Hysteresis =</t>
  </si>
  <si>
    <t xml:space="preserve">Max PG Hysteresis =</t>
  </si>
  <si>
    <t xml:space="preserve">UVLO lower is F41</t>
  </si>
  <si>
    <t xml:space="preserve">R2 is F49</t>
  </si>
  <si>
    <t xml:space="preserve">OVLO upper is F42</t>
  </si>
  <si>
    <t xml:space="preserve">R3 is F50</t>
  </si>
  <si>
    <t xml:space="preserve">OVLO lower is F43</t>
  </si>
  <si>
    <t xml:space="preserve">R4 is F51</t>
  </si>
  <si>
    <t xml:space="preserve">B</t>
  </si>
  <si>
    <t xml:space="preserve">C</t>
  </si>
  <si>
    <t xml:space="preserve">D</t>
  </si>
  <si>
    <t xml:space="preserve">R1 = </t>
  </si>
  <si>
    <t xml:space="preserve">R2 = </t>
  </si>
  <si>
    <t xml:space="preserve">R3 = </t>
  </si>
  <si>
    <t xml:space="preserve">R4 = </t>
  </si>
  <si>
    <t xml:space="preserve">Resulting upper UVLO Threshold (min) = </t>
  </si>
  <si>
    <t xml:space="preserve">Resulting upper UVLO Threshold (typ) = </t>
  </si>
  <si>
    <t xml:space="preserve">Resulting upper UVLO Threshold (max) = </t>
  </si>
  <si>
    <t xml:space="preserve">Resulting lower UVLO Threshold (min) = </t>
  </si>
  <si>
    <t xml:space="preserve">Resulting lower UVLO Threshold (typ) = </t>
  </si>
  <si>
    <t xml:space="preserve">Resulting lower UVLO Threshold (max) = </t>
  </si>
  <si>
    <t xml:space="preserve">Resulting upper OVLO Threshold (min) = </t>
  </si>
  <si>
    <t xml:space="preserve">Resulting upper OVLO Threshold (typ) = </t>
  </si>
  <si>
    <t xml:space="preserve">Resulting upper OVLO Threshold (max) = </t>
  </si>
  <si>
    <t xml:space="preserve">Resulting lower OVLO Threshold (min) = </t>
  </si>
  <si>
    <t xml:space="preserve">Resulting lower OVLO Threshold (typ) = </t>
  </si>
  <si>
    <t xml:space="preserve">Resulting lower OVLO Threshold (max) = </t>
  </si>
  <si>
    <t xml:space="preserve">Ramp time for output voltage</t>
  </si>
  <si>
    <t xml:space="preserve">Nominal output voltage</t>
  </si>
  <si>
    <t xml:space="preserve">Required soft-start capacitance</t>
  </si>
  <si>
    <t xml:space="preserve">GRAPH:</t>
  </si>
  <si>
    <t xml:space="preserve">Selected Rs =</t>
  </si>
  <si>
    <r>
      <rPr>
        <sz val="10"/>
        <rFont val="Arial"/>
        <family val="0"/>
        <charset val="1"/>
      </rPr>
      <t xml:space="preserve">Selected R</t>
    </r>
    <r>
      <rPr>
        <vertAlign val="subscript"/>
        <sz val="10"/>
        <rFont val="Arial"/>
        <family val="2"/>
        <charset val="1"/>
      </rPr>
      <t xml:space="preserve">PWR</t>
    </r>
    <r>
      <rPr>
        <sz val="10"/>
        <rFont val="Arial"/>
        <family val="2"/>
        <charset val="1"/>
      </rPr>
      <t xml:space="preserve"> =</t>
    </r>
  </si>
  <si>
    <t xml:space="preserve">Max System voltage =</t>
  </si>
  <si>
    <t xml:space="preserve">Current Lim (min) =</t>
  </si>
  <si>
    <t xml:space="preserve">Current Lim (typ) =</t>
  </si>
  <si>
    <t xml:space="preserve">Current Lim (max) =</t>
  </si>
  <si>
    <t xml:space="preserve">Power Limit (min) =</t>
  </si>
  <si>
    <t xml:space="preserve">Power Limit (typ) =</t>
  </si>
  <si>
    <t xml:space="preserve">Power Limit (max) =</t>
  </si>
  <si>
    <t xml:space="preserve">A) This table calculates the Ids current based</t>
  </si>
  <si>
    <t xml:space="preserve">B) This table corrrects the table at left so no</t>
  </si>
  <si>
    <t xml:space="preserve">C) This table creates the</t>
  </si>
  <si>
    <t xml:space="preserve">D) This table changes ID values to zero for Vds&gt;Vin(max)</t>
  </si>
  <si>
    <t xml:space="preserve">on power limit only - no current limit info.</t>
  </si>
  <si>
    <t xml:space="preserve">current is greater than the current limit.</t>
  </si>
  <si>
    <t xml:space="preserve">SOA data points from</t>
  </si>
  <si>
    <t xml:space="preserve">and adds the SOA curve. This data is plotted.</t>
  </si>
  <si>
    <t xml:space="preserve">PLIM</t>
  </si>
  <si>
    <t xml:space="preserve">the customer's SOA</t>
  </si>
  <si>
    <t xml:space="preserve">SOA</t>
  </si>
  <si>
    <t xml:space="preserve">Temp Derated SOA</t>
  </si>
  <si>
    <t xml:space="preserve">data he entered.</t>
  </si>
  <si>
    <t xml:space="preserve">User's</t>
  </si>
  <si>
    <t xml:space="preserve">Ids</t>
  </si>
  <si>
    <t xml:space="preserve">x = customer's entry</t>
  </si>
  <si>
    <t xml:space="preserve">x</t>
  </si>
  <si>
    <t xml:space="preserve">Note: I added an adjustment for the systematic offset</t>
  </si>
  <si>
    <t xml:space="preserve">Vos syst</t>
  </si>
  <si>
    <t xml:space="preserve">Rs (ohm)</t>
  </si>
  <si>
    <t xml:space="preserve">Vin, max</t>
  </si>
  <si>
    <t xml:space="preserve">Plim tolerance</t>
  </si>
  <si>
    <t xml:space="preserve">Plim (Vds) = Plim (Vin,max) + (Vds - Vin,max)*Vos,syst/Rs</t>
  </si>
  <si>
    <t xml:space="preserve">ILIM</t>
  </si>
  <si>
    <t xml:space="preserve">Load type</t>
  </si>
  <si>
    <t xml:space="preserve">SS</t>
  </si>
  <si>
    <t xml:space="preserve">Load Value</t>
  </si>
  <si>
    <t xml:space="preserve">Load start</t>
  </si>
  <si>
    <t xml:space="preserve">Rs</t>
  </si>
  <si>
    <t xml:space="preserve">Vos,syst</t>
  </si>
  <si>
    <t xml:space="preserve">Start-time</t>
  </si>
  <si>
    <t xml:space="preserve">I_fet-I_L margin</t>
  </si>
  <si>
    <t xml:space="preserve">I_g(hi/nom)</t>
  </si>
  <si>
    <t xml:space="preserve">I_g(low/nom)</t>
  </si>
  <si>
    <t xml:space="preserve">To avoid timer running: Iload + Icap,ss &lt; IFET_PLIM / 2 =&gt; SS_RATE &lt; 1/Cout * (IFET_PLIM/2 - ILOAD)</t>
  </si>
  <si>
    <t xml:space="preserve">Max_SS_Rate</t>
  </si>
  <si>
    <t xml:space="preserve">max_power_typ</t>
  </si>
  <si>
    <t xml:space="preserve">FET_ENERGY</t>
  </si>
  <si>
    <t xml:space="preserve">max_power_high</t>
  </si>
  <si>
    <t xml:space="preserve">max_power_low</t>
  </si>
  <si>
    <t xml:space="preserve">VIN</t>
  </si>
  <si>
    <t xml:space="preserve">Vout</t>
  </si>
  <si>
    <t xml:space="preserve">ILOAD</t>
  </si>
  <si>
    <t xml:space="preserve">IFET_PLIM</t>
  </si>
  <si>
    <t xml:space="preserve">I_FET_SS</t>
  </si>
  <si>
    <t xml:space="preserve">IFET</t>
  </si>
  <si>
    <t xml:space="preserve">ICAP</t>
  </si>
  <si>
    <r>
      <rPr>
        <b val="true"/>
        <u val="single"/>
        <sz val="10"/>
        <rFont val="Symbol"/>
        <family val="1"/>
        <charset val="2"/>
      </rPr>
      <t xml:space="preserve">D</t>
    </r>
    <r>
      <rPr>
        <b val="true"/>
        <u val="single"/>
        <sz val="10"/>
        <rFont val="Arial"/>
        <family val="2"/>
        <charset val="1"/>
      </rPr>
      <t xml:space="preserve">t</t>
    </r>
  </si>
  <si>
    <t xml:space="preserve">Time</t>
  </si>
  <si>
    <t xml:space="preserve">Tiime (ms)</t>
  </si>
  <si>
    <t xml:space="preserve">I_Fet-IL margin</t>
  </si>
  <si>
    <t xml:space="preserve">Max _allowed SS_rate</t>
  </si>
  <si>
    <t xml:space="preserve">FET_Energy</t>
  </si>
  <si>
    <t xml:space="preserve">Power (W)</t>
  </si>
  <si>
    <t xml:space="preserve">P_ fast_SS</t>
  </si>
  <si>
    <t xml:space="preserve">P_slow_SS</t>
  </si>
  <si>
    <t xml:space="preserve">Start-up slop </t>
  </si>
  <si>
    <t xml:space="preserve">QG</t>
  </si>
  <si>
    <t xml:space="preserve">I_Src</t>
  </si>
  <si>
    <t xml:space="preserve">RMS</t>
  </si>
  <si>
    <t xml:space="preserve">combined</t>
  </si>
  <si>
    <t xml:space="preserve">I_timer</t>
  </si>
  <si>
    <t xml:space="preserve">C_timer</t>
  </si>
  <si>
    <t xml:space="preserve">Final</t>
  </si>
  <si>
    <t xml:space="preserve">Look Up</t>
  </si>
  <si>
    <t xml:space="preserve">I = a * t^m</t>
  </si>
  <si>
    <t xml:space="preserve">100us</t>
  </si>
  <si>
    <t xml:space="preserve">1ms</t>
  </si>
  <si>
    <t xml:space="preserve">10ms</t>
  </si>
  <si>
    <t xml:space="preserve">100ms</t>
  </si>
  <si>
    <t xml:space="preserve">1s/DC</t>
  </si>
  <si>
    <t xml:space="preserve">a = iSOA1/tSOA1^m</t>
  </si>
  <si>
    <t xml:space="preserve">Final SOA</t>
  </si>
  <si>
    <t xml:space="preserve">m = log(iSOA1/iSOA2)/log(tSOA1/tSOA2)</t>
  </si>
  <si>
    <t xml:space="preserve">SOA Check - Based on Timer</t>
  </si>
  <si>
    <t xml:space="preserve">SOA Predictor - dv/dt start-up</t>
  </si>
  <si>
    <t xml:space="preserve">time</t>
  </si>
  <si>
    <t xml:space="preserve">Voltage</t>
  </si>
  <si>
    <t xml:space="preserve">Lower time</t>
  </si>
  <si>
    <t xml:space="preserve">Lower time (adjusted)</t>
  </si>
  <si>
    <t xml:space="preserve">Higher timer</t>
  </si>
  <si>
    <t xml:space="preserve">Higher time</t>
  </si>
  <si>
    <t xml:space="preserve">Higher time (adjusted)</t>
  </si>
  <si>
    <t xml:space="preserve">I (lower time)</t>
  </si>
  <si>
    <t xml:space="preserve">I (higher time)</t>
  </si>
  <si>
    <t xml:space="preserve">Assuming Power vs time is linear on a log-log plot</t>
  </si>
  <si>
    <t xml:space="preserve">a</t>
  </si>
  <si>
    <t xml:space="preserve">m</t>
  </si>
  <si>
    <t xml:space="preserve">&lt;-- Cannot plot zero on a log graph. If slope ~=0, then use 1e-12 as value</t>
  </si>
  <si>
    <t xml:space="preserve">Extr. I</t>
  </si>
  <si>
    <t xml:space="preserve">Interpolated Power=</t>
  </si>
  <si>
    <t xml:space="preserve">board hot?</t>
  </si>
  <si>
    <t xml:space="preserve">Derating factor =</t>
  </si>
  <si>
    <t xml:space="preserve">Temp for derating</t>
  </si>
  <si>
    <t xml:space="preserve">Max Power with Temp Derating = </t>
  </si>
  <si>
    <t xml:space="preserve">SOA Coefficients</t>
  </si>
  <si>
    <t xml:space="preserve">0.1 to 1 ms</t>
  </si>
  <si>
    <t xml:space="preserve">1 to 10ms</t>
  </si>
  <si>
    <t xml:space="preserve">10ms to 100 ms</t>
  </si>
  <si>
    <t xml:space="preserve">100 ms to 1s</t>
  </si>
  <si>
    <t xml:space="preserve">t1</t>
  </si>
  <si>
    <t xml:space="preserve">t2</t>
  </si>
  <si>
    <t xml:space="preserve">Key Equations for SOA margin estimate: </t>
  </si>
  <si>
    <t xml:space="preserve">1) Get total Energy = 1/2 CV^2 + E_load (t_worksheet) * t_start / t_ worksheet</t>
  </si>
  <si>
    <t xml:space="preserve">     note:  t_worksheet is the start time from the start-up worksheet.  E_load = Total Energy @ Start-up - 1/2CV^2</t>
  </si>
  <si>
    <t xml:space="preserve">2) Get peak power:  4 Possible points with peak power</t>
  </si>
  <si>
    <t xml:space="preserve">      a) At Vin = 0 [mainly if there is no load or constant current load that starts at Vout = 0=</t>
  </si>
  <si>
    <t xml:space="preserve">      b) At Vin = Load start [ constant current=</t>
  </si>
  <si>
    <t xml:space="preserve">      c) When derivative of power = 0  [Peak, applies to resistive loads only=</t>
  </si>
  <si>
    <t xml:space="preserve">                </t>
  </si>
  <si>
    <t xml:space="preserve"> P = (I_cap + Vout/R ) * (Vin - Vout) = Icap * Vin - Icap * Vout +Vin * Vout / R - Vout^2 / R </t>
  </si>
  <si>
    <t xml:space="preserve"> =&gt;  dP/dVout =  -Icap + Vin/R -2Vout /R ;  Zero when Vout = -R*I_cap / 2 + Vin / 2</t>
  </si>
  <si>
    <t xml:space="preserve">Copied Inputs</t>
  </si>
  <si>
    <t xml:space="preserve">Temp_start_up</t>
  </si>
  <si>
    <t xml:space="preserve">SOA margin target</t>
  </si>
  <si>
    <t xml:space="preserve">Cap Energy (J)</t>
  </si>
  <si>
    <t xml:space="preserve">E_load (t_worksheet)  (J)</t>
  </si>
  <si>
    <t xml:space="preserve">t_worksheet (ms)</t>
  </si>
  <si>
    <t xml:space="preserve">Initial</t>
  </si>
  <si>
    <t xml:space="preserve">max slew rate </t>
  </si>
  <si>
    <t xml:space="preserve">Upper bound Slew Rate (4ms start-up) (V/ms)</t>
  </si>
  <si>
    <t xml:space="preserve">min slew rate</t>
  </si>
  <si>
    <t xml:space="preserve">Min Slew Rate (400 ms start - up) (V/ms)</t>
  </si>
  <si>
    <t xml:space="preserve"># of points</t>
  </si>
  <si>
    <t xml:space="preserve">mult per point</t>
  </si>
  <si>
    <t xml:space="preserve">slew rate (V/ms)</t>
  </si>
  <si>
    <t xml:space="preserve">t_start (ms)</t>
  </si>
  <si>
    <t xml:space="preserve">I_cap (A)</t>
  </si>
  <si>
    <t xml:space="preserve">Total FET Energy (J)</t>
  </si>
  <si>
    <t xml:space="preserve">Power (Vout= 0) , (W)</t>
  </si>
  <si>
    <t xml:space="preserve">Power (load on), (W)</t>
  </si>
  <si>
    <t xml:space="preserve">Vout (dP/dVout = 0) (V)</t>
  </si>
  <si>
    <t xml:space="preserve">Power (@ Vout above, if applicable) </t>
  </si>
  <si>
    <t xml:space="preserve">max power (W)</t>
  </si>
  <si>
    <t xml:space="preserve">Equivalent time for SOA (ms)</t>
  </si>
  <si>
    <t xml:space="preserve">Available SOA (W)</t>
  </si>
  <si>
    <t xml:space="preserve">Derated for Temp</t>
  </si>
  <si>
    <t xml:space="preserve">SOA Margin</t>
  </si>
  <si>
    <t xml:space="preserve">Pass? </t>
  </si>
  <si>
    <t xml:space="preserve">N</t>
  </si>
  <si>
    <t xml:space="preserve">first yes</t>
  </si>
  <si>
    <t xml:space="preserve">2nd yes</t>
  </si>
  <si>
    <t xml:space="preserve">Mult 1</t>
  </si>
  <si>
    <t xml:space="preserve">mult2</t>
  </si>
</sst>
</file>

<file path=xl/styles.xml><?xml version="1.0" encoding="utf-8"?>
<styleSheet xmlns="http://schemas.openxmlformats.org/spreadsheetml/2006/main">
  <numFmts count="11">
    <numFmt numFmtId="164" formatCode="General"/>
    <numFmt numFmtId="165" formatCode="M/D/YYYY"/>
    <numFmt numFmtId="166" formatCode="0.00"/>
    <numFmt numFmtId="167" formatCode="0.0"/>
    <numFmt numFmtId="168" formatCode="0%"/>
    <numFmt numFmtId="169" formatCode="0"/>
    <numFmt numFmtId="170" formatCode="0.000"/>
    <numFmt numFmtId="171" formatCode="0.00E+00"/>
    <numFmt numFmtId="172" formatCode="0.0000"/>
    <numFmt numFmtId="173" formatCode="0.00%"/>
    <numFmt numFmtId="174" formatCode="##0.00E+0"/>
  </numFmts>
  <fonts count="72">
    <font>
      <sz val="10"/>
      <name val="Arial"/>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b val="true"/>
      <sz val="24"/>
      <name val="Arial"/>
      <family val="2"/>
      <charset val="1"/>
    </font>
    <font>
      <sz val="12"/>
      <name val="MS Sans Serif"/>
      <family val="2"/>
      <charset val="1"/>
    </font>
    <font>
      <b val="true"/>
      <sz val="18"/>
      <name val="Arial"/>
      <family val="2"/>
      <charset val="1"/>
    </font>
    <font>
      <b val="true"/>
      <i val="true"/>
      <sz val="16"/>
      <name val="Arial"/>
      <family val="2"/>
      <charset val="1"/>
    </font>
    <font>
      <b val="true"/>
      <i val="true"/>
      <sz val="11"/>
      <name val="Arial"/>
      <family val="2"/>
      <charset val="1"/>
    </font>
    <font>
      <u val="single"/>
      <sz val="10"/>
      <color rgb="FF0000FF"/>
      <name val="Arial"/>
      <family val="2"/>
      <charset val="1"/>
    </font>
    <font>
      <b val="true"/>
      <i val="true"/>
      <sz val="10"/>
      <name val="Arial"/>
      <family val="2"/>
      <charset val="1"/>
    </font>
    <font>
      <sz val="11"/>
      <color rgb="FF000000"/>
      <name val="Arial"/>
      <family val="2"/>
      <charset val="1"/>
    </font>
    <font>
      <sz val="24"/>
      <color rgb="FFFFFFFF"/>
      <name val="Arial"/>
      <family val="2"/>
      <charset val="1"/>
    </font>
    <font>
      <sz val="22"/>
      <color rgb="FFFFFFFF"/>
      <name val="Arial"/>
      <family val="2"/>
      <charset val="1"/>
    </font>
    <font>
      <sz val="26"/>
      <color rgb="FFFFFFFF"/>
      <name val="Arial"/>
      <family val="2"/>
      <charset val="1"/>
    </font>
    <font>
      <sz val="10"/>
      <color rgb="FFFFFFFF"/>
      <name val="Calibri"/>
      <family val="2"/>
      <charset val="1"/>
    </font>
    <font>
      <sz val="10"/>
      <name val="Calibri"/>
      <family val="2"/>
      <charset val="1"/>
    </font>
    <font>
      <u val="single"/>
      <sz val="10"/>
      <color rgb="FFFFFFFF"/>
      <name val="Arial"/>
      <family val="2"/>
      <charset val="1"/>
    </font>
    <font>
      <b val="true"/>
      <sz val="12"/>
      <color rgb="FFFF0000"/>
      <name val="Calibri"/>
      <family val="2"/>
      <charset val="1"/>
    </font>
    <font>
      <sz val="10"/>
      <color rgb="FF969696"/>
      <name val="Arial"/>
      <family val="2"/>
      <charset val="1"/>
    </font>
    <font>
      <sz val="10"/>
      <color rgb="FFFF0000"/>
      <name val="Arial"/>
      <family val="2"/>
      <charset val="1"/>
    </font>
    <font>
      <b val="true"/>
      <sz val="11"/>
      <name val="Arial"/>
      <family val="2"/>
      <charset val="1"/>
    </font>
    <font>
      <sz val="12"/>
      <name val="Arial"/>
      <family val="2"/>
      <charset val="1"/>
    </font>
    <font>
      <b val="true"/>
      <u val="single"/>
      <sz val="12"/>
      <color rgb="FFFF0000"/>
      <name val="Arial"/>
      <family val="2"/>
      <charset val="1"/>
    </font>
    <font>
      <sz val="12"/>
      <color rgb="FFFF0000"/>
      <name val="Arial"/>
      <family val="2"/>
      <charset val="1"/>
    </font>
    <font>
      <u val="single"/>
      <sz val="12"/>
      <color rgb="FF0000FF"/>
      <name val="Arial"/>
      <family val="2"/>
      <charset val="1"/>
    </font>
    <font>
      <sz val="12"/>
      <color rgb="FF0000FF"/>
      <name val="Arial"/>
      <family val="2"/>
      <charset val="1"/>
    </font>
    <font>
      <u val="single"/>
      <sz val="11"/>
      <color rgb="FF0000FF"/>
      <name val="Arial"/>
      <family val="2"/>
      <charset val="1"/>
    </font>
    <font>
      <sz val="11"/>
      <name val="Arial"/>
      <family val="2"/>
      <charset val="1"/>
    </font>
    <font>
      <vertAlign val="subscript"/>
      <sz val="10"/>
      <name val="Arial"/>
      <family val="2"/>
      <charset val="1"/>
    </font>
    <font>
      <b val="true"/>
      <sz val="11"/>
      <color rgb="FF0000FF"/>
      <name val="Arial"/>
      <family val="2"/>
      <charset val="1"/>
    </font>
    <font>
      <vertAlign val="superscript"/>
      <sz val="10"/>
      <name val="Arial"/>
      <family val="2"/>
      <charset val="1"/>
    </font>
    <font>
      <b val="true"/>
      <sz val="10"/>
      <name val="Arial"/>
      <family val="2"/>
      <charset val="1"/>
    </font>
    <font>
      <sz val="10"/>
      <name val="Symbol"/>
      <family val="1"/>
      <charset val="2"/>
    </font>
    <font>
      <b val="true"/>
      <sz val="9"/>
      <color rgb="FFFF0000"/>
      <name val="Arial"/>
      <family val="2"/>
      <charset val="1"/>
    </font>
    <font>
      <b val="true"/>
      <u val="single"/>
      <sz val="10"/>
      <color rgb="FFFF0000"/>
      <name val="Arial"/>
      <family val="2"/>
      <charset val="1"/>
    </font>
    <font>
      <b val="true"/>
      <sz val="10"/>
      <color rgb="FFFF0000"/>
      <name val="Arial"/>
      <family val="2"/>
      <charset val="1"/>
    </font>
    <font>
      <vertAlign val="subscript"/>
      <sz val="11"/>
      <color rgb="FF000000"/>
      <name val="Arial"/>
      <family val="2"/>
      <charset val="1"/>
    </font>
    <font>
      <b val="true"/>
      <sz val="8"/>
      <color rgb="FF000000"/>
      <name val="Tahoma"/>
      <family val="2"/>
      <charset val="1"/>
    </font>
    <font>
      <b val="true"/>
      <sz val="8"/>
      <color rgb="FF000000"/>
      <name val="Arial"/>
      <family val="2"/>
      <charset val="1"/>
    </font>
    <font>
      <b val="true"/>
      <sz val="9"/>
      <color rgb="FF000000"/>
      <name val="Tahoma"/>
      <family val="2"/>
      <charset val="1"/>
    </font>
    <font>
      <sz val="9"/>
      <color rgb="FF000000"/>
      <name val="Tahoma"/>
      <family val="2"/>
      <charset val="1"/>
    </font>
    <font>
      <b val="true"/>
      <u val="single"/>
      <sz val="12"/>
      <color rgb="FFFF0000"/>
      <name val="Arial"/>
      <family val="0"/>
    </font>
    <font>
      <b val="true"/>
      <sz val="12"/>
      <color rgb="FFFF0000"/>
      <name val="Arial"/>
      <family val="0"/>
    </font>
    <font>
      <sz val="12"/>
      <color rgb="FFFF0000"/>
      <name val="Arial"/>
      <family val="0"/>
    </font>
    <font>
      <b val="true"/>
      <sz val="12"/>
      <color rgb="FF000000"/>
      <name val="Arial"/>
      <family val="0"/>
    </font>
    <font>
      <sz val="10"/>
      <color rgb="FF000000"/>
      <name val="Arial"/>
      <family val="0"/>
    </font>
    <font>
      <vertAlign val="subscript"/>
      <sz val="10"/>
      <color rgb="FF000000"/>
      <name val="Arial"/>
      <family val="0"/>
    </font>
    <font>
      <u val="single"/>
      <sz val="10"/>
      <color rgb="FF000000"/>
      <name val="Arial"/>
      <family val="0"/>
    </font>
    <font>
      <sz val="8"/>
      <color rgb="FF000000"/>
      <name val="Arial"/>
      <family val="0"/>
    </font>
    <font>
      <sz val="9"/>
      <color rgb="FF000000"/>
      <name val="Arial"/>
      <family val="2"/>
    </font>
    <font>
      <b val="true"/>
      <sz val="9"/>
      <color rgb="FF000000"/>
      <name val="Arial"/>
      <family val="2"/>
    </font>
    <font>
      <b val="true"/>
      <vertAlign val="subscript"/>
      <sz val="9"/>
      <color rgb="FF000000"/>
      <name val="Arial"/>
      <family val="2"/>
    </font>
    <font>
      <sz val="8"/>
      <color rgb="FF000000"/>
      <name val="Arial"/>
      <family val="2"/>
    </font>
    <font>
      <b val="true"/>
      <sz val="16"/>
      <color rgb="FF000000"/>
      <name val="Calibri"/>
      <family val="2"/>
    </font>
    <font>
      <b val="true"/>
      <vertAlign val="subscript"/>
      <sz val="16"/>
      <color rgb="FF000000"/>
      <name val="Calibri"/>
      <family val="2"/>
    </font>
    <font>
      <b val="true"/>
      <sz val="10"/>
      <color rgb="FF000000"/>
      <name val="Calibri"/>
      <family val="2"/>
    </font>
    <font>
      <sz val="10"/>
      <color rgb="FF000000"/>
      <name val="Calibri"/>
      <family val="2"/>
    </font>
    <font>
      <sz val="12"/>
      <color rgb="FF000000"/>
      <name val="Arial"/>
      <family val="2"/>
    </font>
    <font>
      <vertAlign val="subscript"/>
      <sz val="12"/>
      <color rgb="FF000000"/>
      <name val="Arial"/>
      <family val="2"/>
    </font>
    <font>
      <b val="true"/>
      <u val="single"/>
      <sz val="10"/>
      <name val="Arial"/>
      <family val="2"/>
      <charset val="1"/>
    </font>
    <font>
      <b val="true"/>
      <sz val="10"/>
      <color rgb="FF000000"/>
      <name val="Arial"/>
      <family val="0"/>
    </font>
    <font>
      <u val="single"/>
      <sz val="8"/>
      <color rgb="FF000000"/>
      <name val="Arial"/>
      <family val="0"/>
    </font>
    <font>
      <vertAlign val="superscript"/>
      <sz val="10"/>
      <color rgb="FF000000"/>
      <name val="Arial"/>
      <family val="0"/>
    </font>
    <font>
      <u val="single"/>
      <vertAlign val="superscript"/>
      <sz val="10"/>
      <color rgb="FF000000"/>
      <name val="Arial"/>
      <family val="0"/>
    </font>
    <font>
      <sz val="11"/>
      <color rgb="FF000000"/>
      <name val="Calibri"/>
      <family val="0"/>
    </font>
    <font>
      <u val="single"/>
      <sz val="11"/>
      <color rgb="FF000000"/>
      <name val="Calibri"/>
      <family val="0"/>
    </font>
    <font>
      <u val="single"/>
      <sz val="10"/>
      <name val="Arial"/>
      <family val="2"/>
      <charset val="1"/>
    </font>
    <font>
      <b val="true"/>
      <u val="single"/>
      <sz val="10"/>
      <name val="Symbol"/>
      <family val="1"/>
      <charset val="2"/>
    </font>
    <font>
      <b val="true"/>
      <sz val="18"/>
      <color rgb="FF000000"/>
      <name val="Calibri"/>
      <family val="2"/>
    </font>
  </fonts>
  <fills count="10">
    <fill>
      <patternFill patternType="none"/>
    </fill>
    <fill>
      <patternFill patternType="gray125"/>
    </fill>
    <fill>
      <patternFill patternType="solid">
        <fgColor rgb="FFC3D69B"/>
        <bgColor rgb="FFBFBFBF"/>
      </patternFill>
    </fill>
    <fill>
      <patternFill patternType="solid">
        <fgColor rgb="FFFFFFFF"/>
        <bgColor rgb="FFFFFFCC"/>
      </patternFill>
    </fill>
    <fill>
      <patternFill patternType="solid">
        <fgColor rgb="FFFFFF00"/>
        <bgColor rgb="FFFFFF00"/>
      </patternFill>
    </fill>
    <fill>
      <patternFill patternType="solid">
        <fgColor rgb="FFFF0000"/>
        <bgColor rgb="FF993300"/>
      </patternFill>
    </fill>
    <fill>
      <patternFill patternType="solid">
        <fgColor rgb="FFD9D9D9"/>
        <bgColor rgb="FFC3D69B"/>
      </patternFill>
    </fill>
    <fill>
      <patternFill patternType="solid">
        <fgColor rgb="FFD99694"/>
        <bgColor rgb="FFFF99CC"/>
      </patternFill>
    </fill>
    <fill>
      <patternFill patternType="solid">
        <fgColor rgb="FF8064A2"/>
        <bgColor rgb="FF808080"/>
      </patternFill>
    </fill>
    <fill>
      <patternFill patternType="solid">
        <fgColor rgb="FFBFBFBF"/>
        <bgColor rgb="FFB7B7B7"/>
      </patternFill>
    </fill>
  </fills>
  <borders count="46">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ck">
        <color rgb="FF0000FF"/>
      </left>
      <right/>
      <top style="thick">
        <color rgb="FF0000FF"/>
      </top>
      <bottom/>
      <diagonal/>
    </border>
    <border diagonalUp="false" diagonalDown="false">
      <left/>
      <right/>
      <top style="thick">
        <color rgb="FF0000FF"/>
      </top>
      <bottom/>
      <diagonal/>
    </border>
    <border diagonalUp="false" diagonalDown="false">
      <left/>
      <right style="thick">
        <color rgb="FF0000FF"/>
      </right>
      <top style="thick">
        <color rgb="FF0000FF"/>
      </top>
      <bottom/>
      <diagonal/>
    </border>
    <border diagonalUp="false" diagonalDown="false">
      <left style="thick">
        <color rgb="FF0000FF"/>
      </left>
      <right/>
      <top/>
      <bottom/>
      <diagonal/>
    </border>
    <border diagonalUp="false" diagonalDown="false">
      <left/>
      <right style="thick">
        <color rgb="FF0000FF"/>
      </right>
      <top/>
      <bottom/>
      <diagonal/>
    </border>
    <border diagonalUp="false" diagonalDown="false">
      <left style="medium"/>
      <right style="medium"/>
      <top style="medium"/>
      <bottom style="medium"/>
      <diagonal/>
    </border>
    <border diagonalUp="false" diagonalDown="false">
      <left style="thick">
        <color rgb="FF0000FF"/>
      </left>
      <right/>
      <top/>
      <bottom style="thick">
        <color rgb="FF0000FF"/>
      </bottom>
      <diagonal/>
    </border>
    <border diagonalUp="false" diagonalDown="false">
      <left/>
      <right/>
      <top/>
      <bottom style="thick">
        <color rgb="FF0000FF"/>
      </bottom>
      <diagonal/>
    </border>
    <border diagonalUp="false" diagonalDown="false">
      <left/>
      <right style="thick">
        <color rgb="FF0000FF"/>
      </right>
      <top/>
      <bottom style="thick">
        <color rgb="FF0000FF"/>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top/>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color rgb="FF808080"/>
      </left>
      <right style="medium">
        <color rgb="FF808080"/>
      </right>
      <top style="medium">
        <color rgb="FF808080"/>
      </top>
      <bottom style="medium">
        <color rgb="FF808080"/>
      </bottom>
      <diagonal/>
    </border>
    <border diagonalUp="false" diagonalDown="false">
      <left/>
      <right style="medium">
        <color rgb="FF808080"/>
      </right>
      <top style="medium">
        <color rgb="FF808080"/>
      </top>
      <bottom style="medium">
        <color rgb="FF808080"/>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style="thin"/>
      <right style="thin"/>
      <top style="thin"/>
      <bottom/>
      <diagonal/>
    </border>
    <border diagonalUp="false" diagonalDown="false">
      <left style="thin"/>
      <right style="thin"/>
      <top style="thin"/>
      <bottom style="medium"/>
      <diagonal/>
    </border>
    <border diagonalUp="false" diagonalDown="false">
      <left style="thin"/>
      <right style="thin"/>
      <top/>
      <bottom style="medium"/>
      <diagonal/>
    </border>
    <border diagonalUp="false" diagonalDown="false">
      <left/>
      <right style="thin"/>
      <top/>
      <bottom style="medium"/>
      <diagonal/>
    </border>
    <border diagonalUp="false" diagonalDown="false">
      <left/>
      <right style="thin"/>
      <top style="medium"/>
      <bottom/>
      <diagonal/>
    </border>
    <border diagonalUp="false" diagonalDown="false">
      <left/>
      <right style="thin"/>
      <top/>
      <bottom/>
      <diagonal/>
    </border>
    <border diagonalUp="false" diagonalDown="false">
      <left/>
      <right style="thin"/>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center" vertical="bottom" textRotation="0" wrapText="false" indent="0" shrinkToFit="false"/>
      <protection locked="true" hidden="false"/>
    </xf>
    <xf numFmtId="164" fontId="4" fillId="4" borderId="1" applyFont="true" applyBorder="true" applyAlignment="true" applyProtection="true">
      <alignment horizontal="center" vertical="center" textRotation="0" wrapText="false" indent="0" shrinkToFit="false"/>
      <protection locked="false" hidden="false"/>
    </xf>
    <xf numFmtId="164" fontId="4" fillId="0" borderId="2" applyFont="true" applyBorder="true" applyAlignment="true" applyProtection="true">
      <alignment horizontal="general" vertical="bottom" textRotation="0" wrapText="false" indent="0" shrinkToFit="false"/>
      <protection locked="true" hidden="false"/>
    </xf>
  </cellStyleXfs>
  <cellXfs count="3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true">
      <alignment horizontal="general" vertical="bottom" textRotation="0" wrapText="false" indent="0" shrinkToFit="false"/>
      <protection locked="true" hidden="false"/>
    </xf>
    <xf numFmtId="164" fontId="0" fillId="4" borderId="4" xfId="0" applyFont="false" applyBorder="true" applyAlignment="false" applyProtection="true">
      <alignment horizontal="general" vertical="bottom" textRotation="0" wrapText="false" indent="0" shrinkToFit="false"/>
      <protection locked="true" hidden="false"/>
    </xf>
    <xf numFmtId="164" fontId="0" fillId="4" borderId="5" xfId="0" applyFont="false" applyBorder="true" applyAlignment="false" applyProtection="true">
      <alignment horizontal="general" vertical="bottom" textRotation="0" wrapText="false" indent="0" shrinkToFit="false"/>
      <protection locked="true" hidden="false"/>
    </xf>
    <xf numFmtId="164" fontId="0" fillId="4" borderId="6" xfId="0" applyFont="false" applyBorder="true" applyAlignment="false" applyProtection="true">
      <alignment horizontal="general" vertical="bottom" textRotation="0" wrapText="false" indent="0" shrinkToFit="false"/>
      <protection locked="true" hidden="false"/>
    </xf>
    <xf numFmtId="164" fontId="0" fillId="4" borderId="0" xfId="0" applyFont="false" applyBorder="true" applyAlignment="false" applyProtection="true">
      <alignment horizontal="general" vertical="bottom" textRotation="0" wrapText="false" indent="0" shrinkToFit="false"/>
      <protection locked="true" hidden="false"/>
    </xf>
    <xf numFmtId="164" fontId="0" fillId="4" borderId="7" xfId="0" applyFont="false" applyBorder="true" applyAlignment="false" applyProtection="true">
      <alignment horizontal="general" vertical="bottom" textRotation="0" wrapText="false" indent="0" shrinkToFit="false"/>
      <protection locked="true" hidden="false"/>
    </xf>
    <xf numFmtId="164" fontId="6" fillId="4" borderId="0" xfId="0" applyFont="true" applyBorder="true" applyAlignment="false" applyProtection="true">
      <alignment horizontal="general" vertical="bottom" textRotation="0" wrapText="false" indent="0" shrinkToFit="false"/>
      <protection locked="true" hidden="false"/>
    </xf>
    <xf numFmtId="164" fontId="7" fillId="4" borderId="0" xfId="0" applyFont="true" applyBorder="true" applyAlignment="false" applyProtection="true">
      <alignment horizontal="general" vertical="bottom" textRotation="0" wrapText="false" indent="0" shrinkToFit="false"/>
      <protection locked="true" hidden="false"/>
    </xf>
    <xf numFmtId="164" fontId="8" fillId="4" borderId="0" xfId="0" applyFont="true" applyBorder="true" applyAlignment="false" applyProtection="true">
      <alignment horizontal="general" vertical="bottom" textRotation="0" wrapText="false" indent="0" shrinkToFit="false"/>
      <protection locked="true" hidden="false"/>
    </xf>
    <xf numFmtId="164" fontId="9" fillId="4" borderId="0" xfId="0" applyFont="true" applyBorder="false" applyAlignment="false" applyProtection="true">
      <alignment horizontal="general" vertical="bottom" textRotation="0" wrapText="false" indent="0" shrinkToFit="false"/>
      <protection locked="true" hidden="false"/>
    </xf>
    <xf numFmtId="164" fontId="0" fillId="4" borderId="0" xfId="0" applyFont="false" applyBorder="false" applyAlignment="fals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true" indent="0" shrinkToFit="false"/>
      <protection locked="true" hidden="false"/>
    </xf>
    <xf numFmtId="164" fontId="11" fillId="4" borderId="0" xfId="20" applyFont="true" applyBorder="true" applyAlignment="true" applyProtection="true">
      <alignment horizontal="general" vertical="bottom" textRotation="0" wrapText="false" indent="0" shrinkToFit="false"/>
      <protection locked="true" hidden="false"/>
    </xf>
    <xf numFmtId="164" fontId="11" fillId="4" borderId="0" xfId="20" applyFont="true" applyBorder="true" applyAlignment="true" applyProtection="true">
      <alignment horizontal="general" vertical="bottom" textRotation="0" wrapText="false" indent="0" shrinkToFit="false"/>
      <protection locked="false" hidden="false"/>
    </xf>
    <xf numFmtId="164" fontId="12" fillId="4" borderId="0" xfId="0" applyFont="true" applyBorder="false" applyAlignment="true" applyProtection="true">
      <alignment horizontal="general" vertical="center" textRotation="0" wrapText="false" indent="0" shrinkToFit="false"/>
      <protection locked="true" hidden="false"/>
    </xf>
    <xf numFmtId="164" fontId="12" fillId="4" borderId="0" xfId="0" applyFont="true" applyBorder="false" applyAlignment="false" applyProtection="true">
      <alignment horizontal="general" vertical="bottom" textRotation="0" wrapText="false" indent="0" shrinkToFit="false"/>
      <protection locked="true" hidden="false"/>
    </xf>
    <xf numFmtId="164" fontId="4" fillId="4" borderId="0" xfId="0" applyFont="true" applyBorder="true" applyAlignment="false" applyProtection="true">
      <alignment horizontal="general" vertical="bottom" textRotation="0" wrapText="false" indent="0" shrinkToFit="false"/>
      <protection locked="true" hidden="false"/>
    </xf>
    <xf numFmtId="164" fontId="13" fillId="0" borderId="8" xfId="0" applyFont="true" applyBorder="true" applyAlignment="true" applyProtection="false">
      <alignment horizontal="center" vertical="center" textRotation="0" wrapText="true" indent="0" shrinkToFit="false"/>
      <protection locked="true" hidden="false"/>
    </xf>
    <xf numFmtId="164" fontId="4" fillId="4" borderId="9" xfId="25" applyFont="false" applyBorder="true" applyAlignment="false" applyProtection="true">
      <alignment horizontal="general" vertical="bottom" textRotation="0" wrapText="false" indent="0" shrinkToFit="false"/>
      <protection locked="true" hidden="false"/>
    </xf>
    <xf numFmtId="164" fontId="4" fillId="4" borderId="10" xfId="25" applyFont="false" applyBorder="true" applyAlignment="false" applyProtection="true">
      <alignment horizontal="general" vertical="bottom" textRotation="0" wrapText="false" indent="0" shrinkToFit="false"/>
      <protection locked="true" hidden="false"/>
    </xf>
    <xf numFmtId="164" fontId="4" fillId="4" borderId="11" xfId="25" applyFont="false" applyBorder="tru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4" fillId="5" borderId="12" xfId="0" applyFont="true" applyBorder="true" applyAlignment="true" applyProtection="true">
      <alignment horizontal="left" vertical="center" textRotation="0" wrapText="false" indent="0" shrinkToFit="false"/>
      <protection locked="true" hidden="false"/>
    </xf>
    <xf numFmtId="164" fontId="16" fillId="3" borderId="13" xfId="0" applyFont="true" applyBorder="true" applyAlignment="true" applyProtection="true">
      <alignment horizontal="center" vertical="center" textRotation="0" wrapText="false" indent="0" shrinkToFit="false"/>
      <protection locked="true" hidden="false"/>
    </xf>
    <xf numFmtId="164" fontId="17" fillId="3" borderId="0" xfId="0" applyFont="true" applyBorder="true" applyAlignment="false" applyProtection="true">
      <alignment horizontal="general" vertical="bottom" textRotation="0" wrapText="false" indent="0" shrinkToFit="false"/>
      <protection locked="true" hidden="false"/>
    </xf>
    <xf numFmtId="164" fontId="17" fillId="3" borderId="0" xfId="0" applyFont="true" applyBorder="false" applyAlignment="false" applyProtection="true">
      <alignment horizontal="general" vertical="bottom" textRotation="0" wrapText="false" indent="0" shrinkToFit="false"/>
      <protection locked="true" hidden="false"/>
    </xf>
    <xf numFmtId="164" fontId="18" fillId="3" borderId="0" xfId="0" applyFont="true" applyBorder="false" applyAlignment="false" applyProtection="true">
      <alignment horizontal="general" vertical="bottom" textRotation="0" wrapText="false" indent="0" shrinkToFit="false"/>
      <protection locked="true" hidden="false"/>
    </xf>
    <xf numFmtId="164" fontId="18" fillId="0" borderId="0" xfId="0" applyFont="true" applyBorder="true" applyAlignment="fals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9" fillId="3" borderId="0" xfId="2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20" fillId="3" borderId="0" xfId="0" applyFont="true" applyBorder="true" applyAlignment="true" applyProtection="true">
      <alignment horizontal="center" vertical="center" textRotation="0" wrapText="false" indent="0" shrinkToFit="false"/>
      <protection locked="true" hidden="false"/>
    </xf>
    <xf numFmtId="164" fontId="21" fillId="3" borderId="0" xfId="0" applyFont="true" applyBorder="false" applyAlignment="true" applyProtection="false">
      <alignment horizontal="left"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5" fontId="21" fillId="3" borderId="0" xfId="0" applyFont="true" applyBorder="false" applyAlignment="true" applyProtection="false">
      <alignment horizontal="left"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0" fillId="3" borderId="0" xfId="0" applyFont="fals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true" applyProtection="false">
      <alignment horizontal="center" vertical="bottom" textRotation="0" wrapText="false" indent="0" shrinkToFit="false"/>
      <protection locked="true" hidden="false"/>
    </xf>
    <xf numFmtId="164" fontId="4" fillId="3" borderId="14" xfId="0" applyFont="true" applyBorder="true" applyAlignment="true" applyProtection="false">
      <alignment horizontal="left" vertical="center" textRotation="0" wrapText="true" indent="0" shrinkToFit="false"/>
      <protection locked="true" hidden="false"/>
    </xf>
    <xf numFmtId="164" fontId="22" fillId="5" borderId="1" xfId="0" applyFont="true" applyBorder="true" applyAlignment="true" applyProtection="false">
      <alignment horizontal="center" vertical="bottom" textRotation="0" wrapText="false" indent="0" shrinkToFit="false"/>
      <protection locked="true" hidden="false"/>
    </xf>
    <xf numFmtId="164" fontId="22" fillId="3" borderId="0" xfId="0" applyFont="true" applyBorder="true" applyAlignment="true" applyProtection="false">
      <alignment horizontal="center" vertical="bottom" textRotation="0" wrapText="fals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4" fillId="3" borderId="0" xfId="0" applyFont="true" applyBorder="false" applyAlignment="true" applyProtection="false">
      <alignment horizontal="left" vertical="center" textRotation="0" wrapText="true" indent="0" shrinkToFit="false"/>
      <protection locked="true" hidden="false"/>
    </xf>
    <xf numFmtId="164" fontId="23" fillId="6" borderId="12" xfId="25" applyFont="true" applyBorder="true" applyAlignment="false" applyProtection="false">
      <alignment horizontal="general" vertical="bottom" textRotation="0" wrapText="false" indent="0" shrinkToFit="false"/>
      <protection locked="true" hidden="false"/>
    </xf>
    <xf numFmtId="164" fontId="24" fillId="3" borderId="13" xfId="25" applyFont="true" applyBorder="true" applyAlignment="false" applyProtection="false">
      <alignment horizontal="general" vertical="bottom" textRotation="0" wrapText="false" indent="0" shrinkToFit="false"/>
      <protection locked="true" hidden="false"/>
    </xf>
    <xf numFmtId="164" fontId="25" fillId="3" borderId="13" xfId="20" applyFont="true" applyBorder="true" applyAlignment="true" applyProtection="true">
      <alignment horizontal="left" vertical="bottom" textRotation="0" wrapText="true" indent="0" shrinkToFit="false"/>
      <protection locked="true" hidden="false"/>
    </xf>
    <xf numFmtId="164" fontId="27" fillId="3" borderId="13" xfId="20" applyFont="true" applyBorder="true" applyAlignment="true" applyProtection="true">
      <alignment horizontal="general" vertical="bottom" textRotation="0" wrapText="true" indent="0" shrinkToFit="false"/>
      <protection locked="true" hidden="false"/>
    </xf>
    <xf numFmtId="164" fontId="4" fillId="3" borderId="13" xfId="25" applyFont="false" applyBorder="true" applyAlignment="false" applyProtection="false">
      <alignment horizontal="general" vertical="bottom" textRotation="0" wrapText="false" indent="0" shrinkToFit="false"/>
      <protection locked="true" hidden="false"/>
    </xf>
    <xf numFmtId="164" fontId="4" fillId="3" borderId="15" xfId="25"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3" fillId="3" borderId="16" xfId="25" applyFont="true" applyBorder="true" applyAlignment="false" applyProtection="false">
      <alignment horizontal="general" vertical="bottom" textRotation="0" wrapText="false" indent="0" shrinkToFit="false"/>
      <protection locked="true" hidden="false"/>
    </xf>
    <xf numFmtId="164" fontId="24" fillId="3" borderId="0" xfId="25" applyFont="true" applyBorder="true" applyAlignment="false" applyProtection="false">
      <alignment horizontal="general" vertical="bottom" textRotation="0" wrapText="false" indent="0" shrinkToFit="false"/>
      <protection locked="true" hidden="false"/>
    </xf>
    <xf numFmtId="164" fontId="27" fillId="3" borderId="0" xfId="20" applyFont="true" applyBorder="true" applyAlignment="true" applyProtection="true">
      <alignment horizontal="left" vertical="bottom" textRotation="0" wrapText="true" indent="0" shrinkToFit="false"/>
      <protection locked="true" hidden="false"/>
    </xf>
    <xf numFmtId="164" fontId="4" fillId="3" borderId="0" xfId="25" applyFont="false" applyBorder="true" applyAlignment="false" applyProtection="false">
      <alignment horizontal="general" vertical="bottom" textRotation="0" wrapText="false" indent="0" shrinkToFit="false"/>
      <protection locked="true" hidden="false"/>
    </xf>
    <xf numFmtId="164" fontId="4" fillId="3" borderId="17" xfId="25" applyFont="false" applyBorder="true" applyAlignment="false" applyProtection="false">
      <alignment horizontal="general" vertical="bottom" textRotation="0" wrapText="false" indent="0" shrinkToFit="false"/>
      <protection locked="true" hidden="false"/>
    </xf>
    <xf numFmtId="164" fontId="26" fillId="3" borderId="16" xfId="25" applyFont="true" applyBorder="true" applyAlignment="true" applyProtection="false">
      <alignment horizontal="left" vertical="top" textRotation="0" wrapText="true" indent="0" shrinkToFit="false"/>
      <protection locked="true" hidden="false"/>
    </xf>
    <xf numFmtId="164" fontId="27" fillId="3" borderId="0" xfId="20" applyFont="true" applyBorder="true" applyAlignment="true" applyProtection="true">
      <alignment horizontal="left" vertical="bottom" textRotation="0" wrapText="false" indent="0" shrinkToFit="false"/>
      <protection locked="true" hidden="false"/>
    </xf>
    <xf numFmtId="164" fontId="4" fillId="3" borderId="0" xfId="25" applyFont="true" applyBorder="true" applyAlignment="false" applyProtection="false">
      <alignment horizontal="general" vertical="bottom" textRotation="0" wrapText="false" indent="0" shrinkToFit="false"/>
      <protection locked="true" hidden="false"/>
    </xf>
    <xf numFmtId="164" fontId="28" fillId="3" borderId="16" xfId="25" applyFont="true" applyBorder="true" applyAlignment="true" applyProtection="false">
      <alignment horizontal="general" vertical="top" textRotation="0" wrapText="true" indent="0" shrinkToFit="false"/>
      <protection locked="true" hidden="false"/>
    </xf>
    <xf numFmtId="164" fontId="29" fillId="3" borderId="0" xfId="20" applyFont="true" applyBorder="true" applyAlignment="true" applyProtection="true">
      <alignment horizontal="general" vertical="bottom" textRotation="0" wrapText="false" indent="0" shrinkToFit="false"/>
      <protection locked="true" hidden="false"/>
    </xf>
    <xf numFmtId="164" fontId="24" fillId="3" borderId="0" xfId="25" applyFont="true" applyBorder="true" applyAlignment="true" applyProtection="false">
      <alignment horizontal="right" vertical="center" textRotation="0" wrapText="false" indent="0" shrinkToFit="false"/>
      <protection locked="true" hidden="false"/>
    </xf>
    <xf numFmtId="164" fontId="4" fillId="3" borderId="16" xfId="25" applyFont="false" applyBorder="true" applyAlignment="false" applyProtection="false">
      <alignment horizontal="general" vertical="bottom" textRotation="0" wrapText="false" indent="0" shrinkToFit="false"/>
      <protection locked="true" hidden="false"/>
    </xf>
    <xf numFmtId="164" fontId="4" fillId="3" borderId="0" xfId="25" applyFont="true" applyBorder="true" applyAlignment="true" applyProtection="false">
      <alignment horizontal="right" vertical="center" textRotation="0" wrapText="false" indent="0" shrinkToFit="false"/>
      <protection locked="true" hidden="false"/>
    </xf>
    <xf numFmtId="164" fontId="23" fillId="4" borderId="18" xfId="25" applyFont="true" applyBorder="true" applyAlignment="true" applyProtection="false">
      <alignment horizontal="left" vertical="top" textRotation="0" wrapText="true" indent="0" shrinkToFit="false"/>
      <protection locked="true" hidden="false"/>
    </xf>
    <xf numFmtId="164" fontId="10" fillId="2" borderId="19" xfId="25" applyFont="true" applyBorder="true" applyAlignment="true" applyProtection="true">
      <alignment horizontal="center" vertical="top" textRotation="0" wrapText="false" indent="0" shrinkToFit="false"/>
      <protection locked="false" hidden="false"/>
    </xf>
    <xf numFmtId="164" fontId="23" fillId="4" borderId="18" xfId="25" applyFont="true" applyBorder="true" applyAlignment="true" applyProtection="false">
      <alignment horizontal="left" vertical="bottom" textRotation="0" wrapText="true" indent="0" shrinkToFit="false"/>
      <protection locked="true" hidden="false"/>
    </xf>
    <xf numFmtId="164" fontId="10" fillId="2" borderId="18" xfId="25" applyFont="true" applyBorder="true" applyAlignment="true" applyProtection="true">
      <alignment horizontal="center" vertical="top" textRotation="0" wrapText="false" indent="0" shrinkToFit="false"/>
      <protection locked="false" hidden="false"/>
    </xf>
    <xf numFmtId="164" fontId="11" fillId="3" borderId="0" xfId="20" applyFont="true" applyBorder="true" applyAlignment="true" applyProtection="true">
      <alignment horizontal="left" vertical="bottom" textRotation="0" wrapText="true" indent="0" shrinkToFit="false"/>
      <protection locked="true" hidden="false"/>
    </xf>
    <xf numFmtId="164" fontId="4" fillId="3" borderId="0" xfId="25" applyFont="true" applyBorder="true" applyAlignment="true" applyProtection="false">
      <alignment horizontal="center" vertical="center" textRotation="0" wrapText="false" indent="0" shrinkToFit="false"/>
      <protection locked="true" hidden="false"/>
    </xf>
    <xf numFmtId="164" fontId="4" fillId="3" borderId="20" xfId="25" applyFont="false" applyBorder="true" applyAlignment="false" applyProtection="false">
      <alignment horizontal="general" vertical="bottom" textRotation="0" wrapText="false" indent="0" shrinkToFit="false"/>
      <protection locked="true" hidden="false"/>
    </xf>
    <xf numFmtId="164" fontId="4" fillId="3" borderId="21" xfId="25" applyFont="false" applyBorder="true" applyAlignment="false" applyProtection="false">
      <alignment horizontal="general" vertical="bottom" textRotation="0" wrapText="false" indent="0" shrinkToFit="false"/>
      <protection locked="true" hidden="false"/>
    </xf>
    <xf numFmtId="164" fontId="4" fillId="3" borderId="21" xfId="25" applyFont="true" applyBorder="true" applyAlignment="true" applyProtection="false">
      <alignment horizontal="general" vertical="top" textRotation="0" wrapText="true" indent="0" shrinkToFit="false"/>
      <protection locked="true" hidden="false"/>
    </xf>
    <xf numFmtId="164" fontId="4" fillId="3" borderId="21" xfId="25" applyFont="true" applyBorder="true" applyAlignment="true" applyProtection="false">
      <alignment horizontal="center" vertical="center" textRotation="0" wrapText="false" indent="0" shrinkToFit="false"/>
      <protection locked="true" hidden="false"/>
    </xf>
    <xf numFmtId="164" fontId="4" fillId="3" borderId="21" xfId="25" applyFont="true" applyBorder="true" applyAlignment="false" applyProtection="false">
      <alignment horizontal="general" vertical="bottom" textRotation="0" wrapText="false" indent="0" shrinkToFit="false"/>
      <protection locked="true" hidden="false"/>
    </xf>
    <xf numFmtId="164" fontId="4" fillId="3" borderId="22" xfId="25" applyFont="false" applyBorder="true" applyAlignment="false" applyProtection="false">
      <alignment horizontal="general" vertical="bottom" textRotation="0" wrapText="false" indent="0" shrinkToFit="false"/>
      <protection locked="true" hidden="false"/>
    </xf>
    <xf numFmtId="164" fontId="23" fillId="6" borderId="12" xfId="0" applyFont="true" applyBorder="true" applyAlignment="false" applyProtection="false">
      <alignment horizontal="general" vertical="bottom" textRotation="0" wrapText="false" indent="0" shrinkToFit="false"/>
      <protection locked="true" hidden="false"/>
    </xf>
    <xf numFmtId="164" fontId="0" fillId="3" borderId="13" xfId="0" applyFont="false" applyBorder="true" applyAlignment="false" applyProtection="false">
      <alignment horizontal="general" vertical="bottom" textRotation="0" wrapText="false" indent="0" shrinkToFit="false"/>
      <protection locked="true" hidden="false"/>
    </xf>
    <xf numFmtId="164" fontId="4" fillId="3" borderId="13" xfId="0" applyFont="true" applyBorder="true" applyAlignment="true" applyProtection="false">
      <alignment horizontal="right" vertical="center" textRotation="0" wrapText="false" indent="0" shrinkToFit="false"/>
      <protection locked="true" hidden="false"/>
    </xf>
    <xf numFmtId="164" fontId="0" fillId="2" borderId="23" xfId="0" applyFont="false" applyBorder="true" applyAlignment="true" applyProtection="true">
      <alignment horizontal="center" vertical="center" textRotation="0" wrapText="false" indent="0" shrinkToFit="false"/>
      <protection locked="false" hidden="false"/>
    </xf>
    <xf numFmtId="164" fontId="4" fillId="3" borderId="24" xfId="0" applyFont="true" applyBorder="true" applyAlignment="true" applyProtection="false">
      <alignment horizontal="center" vertical="center" textRotation="0" wrapText="false" indent="0" shrinkToFit="false"/>
      <protection locked="true" hidden="false"/>
    </xf>
    <xf numFmtId="164" fontId="0" fillId="3" borderId="15" xfId="0" applyFont="false" applyBorder="true" applyAlignment="false" applyProtection="false">
      <alignment horizontal="general" vertical="bottom" textRotation="0" wrapText="false" indent="0" shrinkToFit="false"/>
      <protection locked="true" hidden="false"/>
    </xf>
    <xf numFmtId="164" fontId="32" fillId="3" borderId="16"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right"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false" indent="0" shrinkToFit="false"/>
      <protection locked="false" hidden="false"/>
    </xf>
    <xf numFmtId="164" fontId="4" fillId="3" borderId="2" xfId="0" applyFont="true" applyBorder="true" applyAlignment="true" applyProtection="false">
      <alignment horizontal="center" vertical="center" textRotation="0" wrapText="false" indent="0" shrinkToFit="false"/>
      <protection locked="true" hidden="false"/>
    </xf>
    <xf numFmtId="164" fontId="0" fillId="3" borderId="17" xfId="0" applyFont="false" applyBorder="true" applyAlignment="false" applyProtection="false">
      <alignment horizontal="general" vertical="bottom" textRotation="0" wrapText="false" indent="0" shrinkToFit="false"/>
      <protection locked="true" hidden="false"/>
    </xf>
    <xf numFmtId="164" fontId="0" fillId="3" borderId="16" xfId="0" applyFont="fals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true">
      <alignment horizontal="center" vertical="center" textRotation="0" wrapText="false" indent="0" shrinkToFit="false"/>
      <protection locked="false" hidden="false"/>
    </xf>
    <xf numFmtId="164" fontId="33" fillId="3" borderId="2" xfId="0" applyFont="true" applyBorder="true" applyAlignment="true" applyProtection="false">
      <alignment horizontal="center" vertical="center" textRotation="0" wrapText="false" indent="0" shrinkToFit="false"/>
      <protection locked="true" hidden="false"/>
    </xf>
    <xf numFmtId="164" fontId="11" fillId="3" borderId="16" xfId="20" applyFont="true" applyBorder="true" applyAlignment="true" applyProtection="true">
      <alignment horizontal="left" vertical="bottom" textRotation="0" wrapText="true" indent="0" shrinkToFit="false"/>
      <protection locked="true" hidden="false"/>
    </xf>
    <xf numFmtId="164" fontId="0" fillId="3" borderId="25" xfId="0" applyFont="false" applyBorder="true" applyAlignment="true" applyProtection="true">
      <alignment horizontal="center" vertical="center" textRotation="0" wrapText="false" indent="0" shrinkToFit="false"/>
      <protection locked="false" hidden="false"/>
    </xf>
    <xf numFmtId="164" fontId="0" fillId="3" borderId="20" xfId="0" applyFont="false" applyBorder="true" applyAlignment="false" applyProtection="false">
      <alignment horizontal="general" vertical="bottom" textRotation="0" wrapText="false" indent="0" shrinkToFit="false"/>
      <protection locked="true" hidden="false"/>
    </xf>
    <xf numFmtId="164" fontId="0" fillId="3" borderId="21" xfId="0" applyFont="false" applyBorder="true" applyAlignment="false" applyProtection="false">
      <alignment horizontal="general" vertical="bottom" textRotation="0" wrapText="false" indent="0" shrinkToFit="false"/>
      <protection locked="true" hidden="false"/>
    </xf>
    <xf numFmtId="164" fontId="4" fillId="3" borderId="21" xfId="0" applyFont="true" applyBorder="true" applyAlignment="true" applyProtection="false">
      <alignment horizontal="right" vertical="center" textRotation="0" wrapText="false" indent="0" shrinkToFit="false"/>
      <protection locked="true" hidden="false"/>
    </xf>
    <xf numFmtId="164" fontId="0" fillId="3" borderId="26" xfId="0" applyFont="false" applyBorder="true" applyAlignment="true" applyProtection="true">
      <alignment horizontal="center" vertical="center" textRotation="0" wrapText="false" indent="0" shrinkToFit="false"/>
      <protection locked="false" hidden="false"/>
    </xf>
    <xf numFmtId="164" fontId="4" fillId="3" borderId="27" xfId="0" applyFont="true" applyBorder="true" applyAlignment="true" applyProtection="false">
      <alignment horizontal="center" vertical="center" textRotation="0" wrapText="false" indent="0" shrinkToFit="false"/>
      <protection locked="true" hidden="false"/>
    </xf>
    <xf numFmtId="164" fontId="0" fillId="3" borderId="22" xfId="0" applyFont="false" applyBorder="true" applyAlignment="false" applyProtection="false">
      <alignment horizontal="general" vertical="bottom" textRotation="0" wrapText="false" indent="0" shrinkToFit="false"/>
      <protection locked="true" hidden="false"/>
    </xf>
    <xf numFmtId="164" fontId="0" fillId="6" borderId="13" xfId="0" applyFont="false" applyBorder="true" applyAlignment="false" applyProtection="false">
      <alignment horizontal="general" vertical="bottom" textRotation="0" wrapText="false" indent="0" shrinkToFit="false"/>
      <protection locked="true" hidden="false"/>
    </xf>
    <xf numFmtId="164" fontId="4" fillId="2" borderId="23" xfId="0" applyFont="true" applyBorder="true" applyAlignment="true" applyProtection="true">
      <alignment horizontal="center" vertical="center" textRotation="0" wrapText="false" indent="0" shrinkToFit="false"/>
      <protection locked="false" hidden="false"/>
    </xf>
    <xf numFmtId="164" fontId="0" fillId="0" borderId="24" xfId="0" applyFont="false" applyBorder="true" applyAlignment="true" applyProtection="false">
      <alignment horizontal="center" vertical="center" textRotation="0" wrapText="false" indent="0" shrinkToFit="false"/>
      <protection locked="true" hidden="false"/>
    </xf>
    <xf numFmtId="164" fontId="34" fillId="3" borderId="16"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fals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35" fillId="3" borderId="2" xfId="0" applyFont="true" applyBorder="true" applyAlignment="true" applyProtection="false">
      <alignment horizontal="center" vertical="center" textRotation="0" wrapText="false" indent="0" shrinkToFit="false"/>
      <protection locked="true" hidden="false"/>
    </xf>
    <xf numFmtId="164" fontId="0" fillId="3" borderId="14" xfId="0" applyFont="fals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true" applyProtection="true">
      <alignment horizontal="center" vertical="center" textRotation="0" wrapText="false" indent="0" shrinkToFit="false"/>
      <protection locked="true" hidden="false"/>
    </xf>
    <xf numFmtId="164" fontId="11" fillId="3" borderId="16" xfId="20" applyFont="true" applyBorder="true" applyAlignment="true" applyProtection="true">
      <alignment horizontal="left" vertical="top" textRotation="0" wrapText="tru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right" vertical="center" textRotation="0" wrapText="false" indent="0" shrinkToFit="false"/>
      <protection locked="true" hidden="false"/>
    </xf>
    <xf numFmtId="167" fontId="0" fillId="3" borderId="1" xfId="0" applyFont="fals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right" vertical="center" textRotation="0" wrapText="false" indent="0" shrinkToFit="false"/>
      <protection locked="true" hidden="false"/>
    </xf>
    <xf numFmtId="164" fontId="0" fillId="7" borderId="0" xfId="0" applyFont="false" applyBorder="true" applyAlignment="false" applyProtection="false">
      <alignment horizontal="general" vertical="bottom" textRotation="0" wrapText="false" indent="0" shrinkToFit="false"/>
      <protection locked="true" hidden="false"/>
    </xf>
    <xf numFmtId="164" fontId="4" fillId="7" borderId="0"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7" fontId="0" fillId="3" borderId="25" xfId="0" applyFont="false" applyBorder="true" applyAlignment="true" applyProtection="false">
      <alignment horizontal="center" vertical="center" textRotation="0" wrapText="false" indent="0" shrinkToFit="false"/>
      <protection locked="true" hidden="false"/>
    </xf>
    <xf numFmtId="164" fontId="4" fillId="2" borderId="25" xfId="0" applyFont="true" applyBorder="true" applyAlignment="true" applyProtection="true">
      <alignment horizontal="center" vertical="center" textRotation="0" wrapText="false" indent="0" shrinkToFit="false"/>
      <protection locked="false" hidden="false"/>
    </xf>
    <xf numFmtId="164" fontId="4" fillId="3" borderId="28" xfId="0" applyFont="true" applyBorder="true" applyAlignment="true" applyProtection="false">
      <alignment horizontal="right" vertical="center" textRotation="0" wrapText="false" indent="0" shrinkToFit="false"/>
      <protection locked="true" hidden="false"/>
    </xf>
    <xf numFmtId="164" fontId="4" fillId="2" borderId="26" xfId="0" applyFont="true" applyBorder="true" applyAlignment="true" applyProtection="true">
      <alignment horizontal="center" vertical="center" textRotation="0" wrapText="false" indent="0" shrinkToFit="false"/>
      <protection locked="false" hidden="false"/>
    </xf>
    <xf numFmtId="164" fontId="4" fillId="3" borderId="13" xfId="0" applyFont="true" applyBorder="true" applyAlignment="true" applyProtection="false">
      <alignment horizontal="right" vertical="bottom" textRotation="0" wrapText="false" indent="0" shrinkToFit="false"/>
      <protection locked="true" hidden="false"/>
    </xf>
    <xf numFmtId="164" fontId="0" fillId="3" borderId="24" xfId="0" applyFont="fals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right" vertical="bottom" textRotation="0" wrapText="false" indent="0" shrinkToFit="false"/>
      <protection locked="true" hidden="false"/>
    </xf>
    <xf numFmtId="164" fontId="0" fillId="4" borderId="1" xfId="0" applyFont="fals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0" fillId="3" borderId="16" xfId="0" applyFont="false" applyBorder="true" applyAlignment="true" applyProtection="false">
      <alignment horizontal="general" vertical="bottom" textRotation="0" wrapText="false" indent="0" shrinkToFit="false"/>
      <protection locked="true" hidden="false"/>
    </xf>
    <xf numFmtId="164" fontId="0" fillId="3" borderId="16" xfId="0" applyFont="false" applyBorder="true" applyAlignment="true" applyProtection="false">
      <alignment horizontal="general" vertical="bottom" textRotation="0" wrapText="true" indent="0" shrinkToFit="false"/>
      <protection locked="true" hidden="false"/>
    </xf>
    <xf numFmtId="164" fontId="36" fillId="3" borderId="16" xfId="0" applyFont="true" applyBorder="true" applyAlignment="true" applyProtection="false">
      <alignment horizontal="general" vertical="top" textRotation="0" wrapText="true" indent="0" shrinkToFit="false"/>
      <protection locked="true" hidden="false"/>
    </xf>
    <xf numFmtId="164" fontId="11" fillId="3" borderId="16" xfId="20" applyFont="true" applyBorder="true" applyAlignment="true" applyProtection="true">
      <alignment horizontal="left" vertical="bottom" textRotation="0" wrapText="false" indent="0" shrinkToFit="false"/>
      <protection locked="true" hidden="false"/>
    </xf>
    <xf numFmtId="164" fontId="36" fillId="3" borderId="16" xfId="0" applyFont="true" applyBorder="true" applyAlignment="true" applyProtection="false">
      <alignment horizontal="left" vertical="top" textRotation="0" wrapText="true" indent="0" shrinkToFit="false"/>
      <protection locked="true" hidden="false"/>
    </xf>
    <xf numFmtId="167" fontId="0" fillId="0" borderId="1" xfId="0" applyFont="false" applyBorder="true" applyAlignment="true" applyProtection="true">
      <alignment horizontal="center" vertical="center" textRotation="0" wrapText="false" indent="0" shrinkToFit="false"/>
      <protection locked="true" hidden="false"/>
    </xf>
    <xf numFmtId="166" fontId="0" fillId="2" borderId="1" xfId="0" applyFont="false" applyBorder="true" applyAlignment="true" applyProtection="true">
      <alignment horizontal="center" vertical="center" textRotation="0" wrapText="false" indent="0" shrinkToFit="false"/>
      <protection locked="false" hidden="false"/>
    </xf>
    <xf numFmtId="166" fontId="0" fillId="3" borderId="1" xfId="0" applyFont="false" applyBorder="true" applyAlignment="true" applyProtection="true">
      <alignment horizontal="center" vertical="center" textRotation="0" wrapText="false" indent="0" shrinkToFit="false"/>
      <protection locked="true" hidden="false"/>
    </xf>
    <xf numFmtId="164" fontId="37" fillId="3" borderId="21" xfId="25" applyFont="true" applyBorder="true" applyAlignment="true" applyProtection="false">
      <alignment horizontal="left" vertical="top" textRotation="0" wrapText="tru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true">
      <alignment horizontal="center" vertical="center" textRotation="0" wrapText="false" indent="0" shrinkToFit="false"/>
      <protection locked="false" hidden="false"/>
    </xf>
    <xf numFmtId="166" fontId="0" fillId="3" borderId="1" xfId="0" applyFont="false" applyBorder="true" applyAlignment="true" applyProtection="false">
      <alignment horizontal="center" vertical="center" textRotation="0" wrapText="false" indent="0" shrinkToFit="false"/>
      <protection locked="true" hidden="false"/>
    </xf>
    <xf numFmtId="168" fontId="0" fillId="3" borderId="1" xfId="0" applyFont="fals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right" vertical="bottom" textRotation="0" wrapText="false" indent="0" shrinkToFit="false"/>
      <protection locked="true" hidden="false"/>
    </xf>
    <xf numFmtId="164" fontId="11" fillId="3" borderId="16"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38" fillId="3" borderId="16"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4" fontId="4" fillId="3" borderId="17"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center" vertical="center" textRotation="0" wrapText="false" indent="0" shrinkToFit="false"/>
      <protection locked="true" hidden="false"/>
    </xf>
    <xf numFmtId="169" fontId="0" fillId="3" borderId="1" xfId="0" applyFont="false" applyBorder="true" applyAlignment="true" applyProtection="false">
      <alignment horizontal="center" vertical="center" textRotation="0" wrapText="false" indent="0" shrinkToFit="false"/>
      <protection locked="true" hidden="false"/>
    </xf>
    <xf numFmtId="164" fontId="0" fillId="3" borderId="13" xfId="0" applyFont="true" applyBorder="true" applyAlignment="true" applyProtection="false">
      <alignment horizontal="right" vertical="center" textRotation="0" wrapText="false" indent="0" shrinkToFit="false"/>
      <protection locked="true" hidden="false"/>
    </xf>
    <xf numFmtId="164" fontId="0" fillId="2" borderId="23" xfId="0" applyFont="true" applyBorder="true" applyAlignment="true" applyProtection="true">
      <alignment horizontal="center" vertical="center" textRotation="0" wrapText="false" indent="0" shrinkToFit="false"/>
      <protection locked="false" hidden="false"/>
    </xf>
    <xf numFmtId="164" fontId="0" fillId="3" borderId="29" xfId="0" applyFont="fals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false" indent="0" shrinkToFit="false"/>
      <protection locked="false" hidden="false"/>
    </xf>
    <xf numFmtId="164" fontId="4" fillId="3" borderId="30" xfId="0" applyFont="true" applyBorder="true" applyAlignment="true" applyProtection="false">
      <alignment horizontal="center" vertical="center" textRotation="0" wrapText="false" indent="0" shrinkToFit="false"/>
      <protection locked="true" hidden="false"/>
    </xf>
    <xf numFmtId="164" fontId="4" fillId="3" borderId="30" xfId="0" applyFont="true" applyBorder="true" applyAlignment="true" applyProtection="false">
      <alignment horizontal="right" vertical="center" textRotation="0" wrapText="false" indent="0" shrinkToFit="false"/>
      <protection locked="true" hidden="false"/>
    </xf>
    <xf numFmtId="164" fontId="4" fillId="3" borderId="2" xfId="0" applyFont="true" applyBorder="true" applyAlignment="true" applyProtection="false">
      <alignment horizontal="right" vertical="center" textRotation="0" wrapText="false" indent="0" shrinkToFit="false"/>
      <protection locked="true" hidden="false"/>
    </xf>
    <xf numFmtId="166" fontId="0" fillId="3" borderId="31" xfId="0" applyFont="false" applyBorder="true" applyAlignment="true" applyProtection="false">
      <alignment horizontal="center" vertical="center" textRotation="0" wrapText="false" indent="0" shrinkToFit="false"/>
      <protection locked="true" hidden="false"/>
    </xf>
    <xf numFmtId="164" fontId="0" fillId="3" borderId="30" xfId="0" applyFont="true" applyBorder="true" applyAlignment="true" applyProtection="false">
      <alignment horizontal="right" vertical="center" textRotation="0" wrapText="false" indent="0" shrinkToFit="false"/>
      <protection locked="true" hidden="false"/>
    </xf>
    <xf numFmtId="164" fontId="38" fillId="3" borderId="0" xfId="0" applyFont="true" applyBorder="true" applyAlignment="false" applyProtection="false">
      <alignment horizontal="general" vertical="bottom" textRotation="0" wrapText="false" indent="0" shrinkToFit="false"/>
      <protection locked="true" hidden="false"/>
    </xf>
    <xf numFmtId="164" fontId="0" fillId="3" borderId="30" xfId="0" applyFont="false" applyBorder="true" applyAlignment="true" applyProtection="false">
      <alignment horizontal="center" vertical="bottom" textRotation="0" wrapText="false" indent="0" shrinkToFit="false"/>
      <protection locked="true" hidden="false"/>
    </xf>
    <xf numFmtId="164" fontId="34" fillId="3" borderId="0" xfId="0" applyFont="true" applyBorder="true" applyAlignment="true" applyProtection="false">
      <alignment horizontal="right" vertical="bottom" textRotation="0" wrapText="false" indent="0" shrinkToFit="false"/>
      <protection locked="true" hidden="false"/>
    </xf>
    <xf numFmtId="164" fontId="34" fillId="3" borderId="0" xfId="0" applyFont="true" applyBorder="true" applyAlignment="true" applyProtection="false">
      <alignment horizontal="center" vertical="bottom" textRotation="0" wrapText="false" indent="0" shrinkToFit="false"/>
      <protection locked="true" hidden="false"/>
    </xf>
    <xf numFmtId="166" fontId="0" fillId="3" borderId="32" xfId="0" applyFont="false" applyBorder="true" applyAlignment="true" applyProtection="false">
      <alignment horizontal="center" vertical="center" textRotation="0" wrapText="false" indent="0" shrinkToFit="false"/>
      <protection locked="true" hidden="false"/>
    </xf>
    <xf numFmtId="166" fontId="0" fillId="3" borderId="23" xfId="0" applyFont="false" applyBorder="true" applyAlignment="true" applyProtection="false">
      <alignment horizontal="center" vertical="center" textRotation="0" wrapText="false" indent="0" shrinkToFit="false"/>
      <protection locked="true" hidden="false"/>
    </xf>
    <xf numFmtId="166" fontId="0" fillId="3" borderId="33" xfId="0" applyFont="false" applyBorder="true" applyAlignment="true" applyProtection="false">
      <alignment horizontal="center" vertical="center" textRotation="0" wrapText="false" indent="0" shrinkToFit="false"/>
      <protection locked="true" hidden="false"/>
    </xf>
    <xf numFmtId="166" fontId="0" fillId="3" borderId="34" xfId="0" applyFont="false" applyBorder="true" applyAlignment="true" applyProtection="false">
      <alignment horizontal="center" vertical="center" textRotation="0" wrapText="false" indent="0" shrinkToFit="false"/>
      <protection locked="true" hidden="false"/>
    </xf>
    <xf numFmtId="166" fontId="0" fillId="3" borderId="35" xfId="0" applyFont="false" applyBorder="true" applyAlignment="true" applyProtection="false">
      <alignment horizontal="center" vertical="center" textRotation="0" wrapText="false" indent="0" shrinkToFit="false"/>
      <protection locked="true" hidden="false"/>
    </xf>
    <xf numFmtId="166" fontId="0" fillId="3" borderId="36" xfId="0" applyFont="false" applyBorder="true" applyAlignment="true" applyProtection="false">
      <alignment horizontal="center" vertical="center" textRotation="0" wrapText="false" indent="0" shrinkToFit="false"/>
      <protection locked="true" hidden="false"/>
    </xf>
    <xf numFmtId="166" fontId="0" fillId="3" borderId="26" xfId="0" applyFont="false" applyBorder="true" applyAlignment="true" applyProtection="false">
      <alignment horizontal="center" vertical="center" textRotation="0" wrapText="false" indent="0" shrinkToFit="false"/>
      <protection locked="true" hidden="false"/>
    </xf>
    <xf numFmtId="166" fontId="0" fillId="3" borderId="37" xfId="0" applyFont="false" applyBorder="true" applyAlignment="true" applyProtection="false">
      <alignment horizontal="center" vertical="center" textRotation="0" wrapText="false" indent="0" shrinkToFit="false"/>
      <protection locked="true" hidden="false"/>
    </xf>
    <xf numFmtId="164" fontId="38" fillId="3" borderId="30" xfId="0" applyFont="true" applyBorder="true" applyAlignment="true" applyProtection="false">
      <alignment horizontal="left" vertical="bottom" textRotation="0" wrapText="tru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false" hidden="false"/>
    </xf>
    <xf numFmtId="164" fontId="4" fillId="3" borderId="30" xfId="0" applyFont="true" applyBorder="true" applyAlignment="true" applyProtection="false">
      <alignment horizontal="center" vertical="bottom" textRotation="0" wrapText="false" indent="0" shrinkToFit="false"/>
      <protection locked="true" hidden="false"/>
    </xf>
    <xf numFmtId="164" fontId="4" fillId="3" borderId="30" xfId="0" applyFont="true" applyBorder="true" applyAlignment="true" applyProtection="false">
      <alignment horizontal="right" vertical="bottom" textRotation="0" wrapText="false" indent="0" shrinkToFit="false"/>
      <protection locked="true" hidden="false"/>
    </xf>
    <xf numFmtId="166" fontId="0" fillId="3" borderId="1" xfId="0" applyFont="false" applyBorder="true" applyAlignment="true" applyProtection="true">
      <alignment horizontal="center" vertical="bottom" textRotation="0" wrapText="false" indent="0" shrinkToFit="false"/>
      <protection locked="true" hidden="false"/>
    </xf>
    <xf numFmtId="166" fontId="0" fillId="3" borderId="25" xfId="0" applyFont="false" applyBorder="true" applyAlignment="true" applyProtection="true">
      <alignment horizontal="center" vertical="bottom" textRotation="0" wrapText="false" indent="0" shrinkToFit="false"/>
      <protection locked="true" hidden="false"/>
    </xf>
    <xf numFmtId="164" fontId="0" fillId="3" borderId="1" xfId="0" applyFont="false" applyBorder="true" applyAlignment="true" applyProtection="true">
      <alignment horizontal="center" vertical="bottom" textRotation="0" wrapText="false" indent="0" shrinkToFit="false"/>
      <protection locked="true" hidden="false"/>
    </xf>
    <xf numFmtId="164" fontId="13" fillId="3" borderId="13" xfId="0" applyFont="true" applyBorder="true" applyAlignment="true" applyProtection="false">
      <alignment horizontal="right" vertical="center" textRotation="0" wrapText="false" indent="0" shrinkToFit="false"/>
      <protection locked="true" hidden="false"/>
    </xf>
    <xf numFmtId="164" fontId="0" fillId="3" borderId="23" xfId="0" applyFont="false" applyBorder="true" applyAlignment="true" applyProtection="false">
      <alignment horizontal="center" vertical="center" textRotation="0" wrapText="false" indent="0" shrinkToFit="false"/>
      <protection locked="true" hidden="false"/>
    </xf>
    <xf numFmtId="164" fontId="4" fillId="3" borderId="13" xfId="0" applyFont="true" applyBorder="true" applyAlignment="true" applyProtection="false">
      <alignment horizontal="center" vertical="center" textRotation="0" wrapText="false" indent="0" shrinkToFit="false"/>
      <protection locked="true" hidden="false"/>
    </xf>
    <xf numFmtId="164" fontId="13" fillId="3" borderId="0" xfId="0" applyFont="true" applyBorder="true" applyAlignment="true" applyProtection="false">
      <alignment horizontal="right" vertical="center" textRotation="0" wrapText="false" indent="0" shrinkToFit="false"/>
      <protection locked="true" hidden="false"/>
    </xf>
    <xf numFmtId="164" fontId="0" fillId="3" borderId="38" xfId="0" applyFont="false" applyBorder="true" applyAlignment="true" applyProtection="false">
      <alignment horizontal="center" vertical="center" textRotation="0" wrapText="false" indent="0" shrinkToFit="false"/>
      <protection locked="true" hidden="false"/>
    </xf>
    <xf numFmtId="164" fontId="35" fillId="3" borderId="0" xfId="0" applyFont="true" applyBorder="true" applyAlignment="true" applyProtection="false">
      <alignment horizontal="center" vertical="center" textRotation="0" wrapText="false" indent="0" shrinkToFit="false"/>
      <protection locked="true" hidden="false"/>
    </xf>
    <xf numFmtId="164" fontId="0" fillId="3" borderId="0" xfId="0" applyFont="true" applyBorder="true" applyAlignment="true" applyProtection="false">
      <alignment horizontal="right"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0" fillId="8" borderId="12" xfId="0" applyFont="false" applyBorder="true" applyAlignment="false" applyProtection="false">
      <alignment horizontal="general" vertical="bottom" textRotation="0" wrapText="false" indent="0" shrinkToFit="false"/>
      <protection locked="true" hidden="false"/>
    </xf>
    <xf numFmtId="164" fontId="4" fillId="8" borderId="13" xfId="0" applyFont="true" applyBorder="true" applyAlignment="true" applyProtection="false">
      <alignment horizontal="center" vertical="bottom" textRotation="0" wrapText="false" indent="0" shrinkToFit="false"/>
      <protection locked="true" hidden="false"/>
    </xf>
    <xf numFmtId="164" fontId="34" fillId="8" borderId="13" xfId="0" applyFont="true" applyBorder="true" applyAlignment="true" applyProtection="false">
      <alignment horizontal="center" vertical="bottom" textRotation="0" wrapText="false" indent="0" shrinkToFit="false"/>
      <protection locked="true" hidden="false"/>
    </xf>
    <xf numFmtId="164" fontId="34" fillId="8" borderId="1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true" applyAlignment="false" applyProtection="false">
      <alignment horizontal="general" vertical="bottom" textRotation="0" wrapText="false" indent="0" shrinkToFit="false"/>
      <protection locked="true" hidden="false"/>
    </xf>
    <xf numFmtId="164" fontId="34" fillId="3" borderId="17" xfId="0" applyFont="true" applyBorder="true" applyAlignment="true" applyProtection="false">
      <alignment horizontal="left" vertical="bottom" textRotation="0" wrapText="false" indent="0" shrinkToFit="false"/>
      <protection locked="true" hidden="false"/>
    </xf>
    <xf numFmtId="164" fontId="0" fillId="3" borderId="34" xfId="0" applyFont="fals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right" vertical="bottom" textRotation="0" wrapText="false" indent="0" shrinkToFit="false"/>
      <protection locked="true" hidden="false"/>
    </xf>
    <xf numFmtId="167" fontId="0" fillId="3" borderId="1" xfId="0" applyFont="false" applyBorder="true" applyAlignment="true" applyProtection="false">
      <alignment horizontal="center" vertical="bottom" textRotation="0" wrapText="false" indent="0" shrinkToFit="false"/>
      <protection locked="true" hidden="false"/>
    </xf>
    <xf numFmtId="164" fontId="4" fillId="3" borderId="35"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9" fontId="0" fillId="3" borderId="1"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6" fontId="0" fillId="3" borderId="1" xfId="0" applyFont="false" applyBorder="true" applyAlignment="true" applyProtection="false">
      <alignment horizontal="center" vertical="bottom" textRotation="0" wrapText="false" indent="0" shrinkToFit="false"/>
      <protection locked="true" hidden="false"/>
    </xf>
    <xf numFmtId="164" fontId="0" fillId="3" borderId="25" xfId="0" applyFont="false" applyBorder="true" applyAlignment="true" applyProtection="false">
      <alignment horizontal="center" vertical="center" textRotation="0" wrapText="false" indent="0" shrinkToFit="false"/>
      <protection locked="true" hidden="false"/>
    </xf>
    <xf numFmtId="170" fontId="0" fillId="3" borderId="1" xfId="0" applyFont="false" applyBorder="true" applyAlignment="true" applyProtection="false">
      <alignment horizontal="center" vertical="bottom" textRotation="0" wrapText="false" indent="0" shrinkToFit="false"/>
      <protection locked="true" hidden="false"/>
    </xf>
    <xf numFmtId="169" fontId="0" fillId="3" borderId="25" xfId="0" applyFont="false" applyBorder="true" applyAlignment="true" applyProtection="false">
      <alignment horizontal="center" vertical="center" textRotation="0" wrapText="false" indent="0" shrinkToFit="false"/>
      <protection locked="true" hidden="false"/>
    </xf>
    <xf numFmtId="170" fontId="4" fillId="3" borderId="1" xfId="0" applyFont="true" applyBorder="true" applyAlignment="true" applyProtection="false">
      <alignment horizontal="right" vertical="bottom" textRotation="0" wrapText="false" indent="0" shrinkToFit="false"/>
      <protection locked="true" hidden="false"/>
    </xf>
    <xf numFmtId="166" fontId="0" fillId="3" borderId="25" xfId="0" applyFont="false" applyBorder="true" applyAlignment="true" applyProtection="false">
      <alignment horizontal="center" vertical="center" textRotation="0" wrapText="false" indent="0" shrinkToFit="false"/>
      <protection locked="true" hidden="false"/>
    </xf>
    <xf numFmtId="164" fontId="0" fillId="3" borderId="36" xfId="0" applyFont="false" applyBorder="true" applyAlignment="false" applyProtection="false">
      <alignment horizontal="general" vertical="bottom" textRotation="0" wrapText="false" indent="0" shrinkToFit="false"/>
      <protection locked="true" hidden="false"/>
    </xf>
    <xf numFmtId="170" fontId="4" fillId="3" borderId="26" xfId="0" applyFont="true" applyBorder="true" applyAlignment="true" applyProtection="false">
      <alignment horizontal="right" vertical="bottom" textRotation="0" wrapText="false" indent="0" shrinkToFit="false"/>
      <protection locked="true" hidden="false"/>
    </xf>
    <xf numFmtId="164" fontId="0" fillId="3" borderId="26" xfId="0" applyFont="false" applyBorder="true" applyAlignment="true" applyProtection="false">
      <alignment horizontal="center" vertical="bottom" textRotation="0" wrapText="false" indent="0" shrinkToFit="false"/>
      <protection locked="true" hidden="false"/>
    </xf>
    <xf numFmtId="164" fontId="4" fillId="3" borderId="37" xfId="0" applyFont="true" applyBorder="true" applyAlignment="false" applyProtection="false">
      <alignment horizontal="general" vertical="bottom" textRotation="0" wrapText="false" indent="0" shrinkToFit="false"/>
      <protection locked="true" hidden="false"/>
    </xf>
    <xf numFmtId="169" fontId="4" fillId="3" borderId="1" xfId="0" applyFont="true" applyBorder="true" applyAlignment="true" applyProtection="false">
      <alignment horizontal="center" vertical="center" textRotation="0" wrapText="false" indent="0" shrinkToFit="false"/>
      <protection locked="true" hidden="false"/>
    </xf>
    <xf numFmtId="169" fontId="4" fillId="3" borderId="0" xfId="0" applyFont="true" applyBorder="true" applyAlignment="true" applyProtection="false">
      <alignment horizontal="center" vertical="center" textRotation="0" wrapText="false" indent="0" shrinkToFit="false"/>
      <protection locked="true" hidden="false"/>
    </xf>
    <xf numFmtId="164" fontId="0" fillId="3" borderId="16" xfId="0" applyFont="true" applyBorder="true" applyAlignment="true" applyProtection="false">
      <alignment horizontal="right" vertical="bottom" textRotation="0" wrapText="false" indent="0" shrinkToFit="false"/>
      <protection locked="true" hidden="false"/>
    </xf>
    <xf numFmtId="164" fontId="4" fillId="3" borderId="0"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true" applyAlignment="true" applyProtection="false">
      <alignment horizontal="right" vertical="bottom" textRotation="0" wrapText="false" indent="0" shrinkToFit="false"/>
      <protection locked="true" hidden="false"/>
    </xf>
    <xf numFmtId="165" fontId="4" fillId="3" borderId="0" xfId="0" applyFont="true" applyBorder="true" applyAlignment="true" applyProtection="false">
      <alignment horizontal="center" vertical="bottom" textRotation="0" wrapText="false" indent="0" shrinkToFit="false"/>
      <protection locked="true" hidden="false"/>
    </xf>
    <xf numFmtId="164" fontId="4" fillId="3" borderId="21" xfId="0" applyFont="true" applyBorder="true" applyAlignment="true" applyProtection="false">
      <alignment horizontal="left" vertical="bottom" textRotation="0" wrapText="false" indent="0" shrinkToFit="false"/>
      <protection locked="true" hidden="false"/>
    </xf>
    <xf numFmtId="164" fontId="0" fillId="3" borderId="21" xfId="0" applyFont="false" applyBorder="tru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true">
      <alignment horizontal="general" vertical="bottom" textRotation="0" wrapText="false" indent="0" shrinkToFit="false"/>
      <protection locked="true" hidden="false"/>
    </xf>
    <xf numFmtId="164" fontId="32" fillId="3"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fals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true" applyAlignment="true" applyProtection="true">
      <alignment horizontal="center" vertical="center" textRotation="0" wrapText="false" indent="0" shrinkToFit="false"/>
      <protection locked="false" hidden="false"/>
    </xf>
    <xf numFmtId="164" fontId="0"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2"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39"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4" fontId="0" fillId="0" borderId="41" xfId="0" applyFont="true" applyBorder="true" applyAlignment="true" applyProtection="false">
      <alignment horizontal="right"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right" vertical="bottom" textRotation="0" wrapText="false" indent="0" shrinkToFit="false"/>
      <protection locked="true" hidden="false"/>
    </xf>
    <xf numFmtId="164" fontId="0" fillId="0" borderId="42" xfId="0" applyFont="false" applyBorder="true" applyAlignment="false" applyProtection="false">
      <alignment horizontal="general" vertical="bottom" textRotation="0" wrapText="false" indent="0" shrinkToFit="false"/>
      <protection locked="true" hidden="false"/>
    </xf>
    <xf numFmtId="164" fontId="0" fillId="0" borderId="43" xfId="0" applyFont="false" applyBorder="true" applyAlignment="false" applyProtection="false">
      <alignment horizontal="general" vertical="bottom" textRotation="0" wrapText="false" indent="0" shrinkToFit="false"/>
      <protection locked="true" hidden="false"/>
    </xf>
    <xf numFmtId="164" fontId="0" fillId="0" borderId="43" xfId="0" applyFont="false" applyBorder="true" applyAlignment="false" applyProtection="false">
      <alignment horizontal="general" vertical="bottom" textRotation="0" wrapText="false" indent="0" shrinkToFit="false"/>
      <protection locked="true" hidden="false"/>
    </xf>
    <xf numFmtId="164" fontId="0" fillId="0" borderId="44"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4"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0" fillId="0" borderId="25" xfId="0" applyFont="tru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4" fontId="0" fillId="0" borderId="38"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0" xfId="25" applyFont="false" applyBorder="false" applyAlignment="false" applyProtection="false">
      <alignment horizontal="general" vertical="bottom" textRotation="0" wrapText="false" indent="0" shrinkToFit="false"/>
      <protection locked="true" hidden="false"/>
    </xf>
    <xf numFmtId="164" fontId="69" fillId="0" borderId="0" xfId="25" applyFont="true" applyBorder="false" applyAlignment="false" applyProtection="false">
      <alignment horizontal="general" vertical="bottom" textRotation="0" wrapText="false" indent="0" shrinkToFit="false"/>
      <protection locked="true" hidden="false"/>
    </xf>
    <xf numFmtId="166" fontId="4" fillId="0" borderId="0" xfId="25" applyFont="false" applyBorder="false" applyAlignment="false" applyProtection="false">
      <alignment horizontal="general" vertical="bottom" textRotation="0" wrapText="false" indent="0" shrinkToFit="false"/>
      <protection locked="true" hidden="false"/>
    </xf>
    <xf numFmtId="173" fontId="4" fillId="0" borderId="0" xfId="25" applyFont="false" applyBorder="false" applyAlignment="false" applyProtection="false">
      <alignment horizontal="general" vertical="bottom" textRotation="0" wrapText="false" indent="0" shrinkToFit="false"/>
      <protection locked="true" hidden="false"/>
    </xf>
    <xf numFmtId="164" fontId="62" fillId="0" borderId="0" xfId="25" applyFont="true" applyBorder="false" applyAlignment="false" applyProtection="false">
      <alignment horizontal="general" vertical="bottom" textRotation="0" wrapText="false" indent="0" shrinkToFit="false"/>
      <protection locked="true" hidden="false"/>
    </xf>
    <xf numFmtId="164" fontId="62" fillId="0" borderId="0" xfId="25" applyFont="true" applyBorder="false" applyAlignment="true" applyProtection="true">
      <alignment horizontal="center" vertical="bottom" textRotation="0" wrapText="false" indent="0" shrinkToFit="false"/>
      <protection locked="true" hidden="false"/>
    </xf>
    <xf numFmtId="164" fontId="70" fillId="0" borderId="0" xfId="25" applyFont="true" applyBorder="false" applyAlignment="true" applyProtection="true">
      <alignment horizontal="center" vertical="bottom" textRotation="0" wrapText="false" indent="0" shrinkToFit="false"/>
      <protection locked="true" hidden="false"/>
    </xf>
    <xf numFmtId="164" fontId="62" fillId="0" borderId="0" xfId="25" applyFont="true" applyBorder="false" applyAlignment="true" applyProtection="false">
      <alignment horizontal="center" vertical="bottom" textRotation="0" wrapText="false" indent="0" shrinkToFit="false"/>
      <protection locked="true" hidden="false"/>
    </xf>
    <xf numFmtId="167" fontId="4" fillId="0" borderId="0" xfId="25" applyFont="false" applyBorder="false" applyAlignment="true" applyProtection="false">
      <alignment horizontal="center" vertical="bottom" textRotation="0" wrapText="false" indent="0" shrinkToFit="false"/>
      <protection locked="true" hidden="false"/>
    </xf>
    <xf numFmtId="166" fontId="4" fillId="0" borderId="0" xfId="25" applyFont="false" applyBorder="false" applyAlignment="true" applyProtection="false">
      <alignment horizontal="center" vertical="bottom" textRotation="0" wrapText="false" indent="0" shrinkToFit="false"/>
      <protection locked="true" hidden="false"/>
    </xf>
    <xf numFmtId="166" fontId="4" fillId="0" borderId="16" xfId="25" applyFont="false" applyBorder="true" applyAlignment="true" applyProtection="true">
      <alignment horizontal="center" vertical="bottom" textRotation="0" wrapText="false" indent="0" shrinkToFit="false"/>
      <protection locked="true" hidden="false"/>
    </xf>
    <xf numFmtId="170" fontId="4" fillId="0" borderId="0" xfId="25" applyFont="false" applyBorder="false" applyAlignment="true" applyProtection="true">
      <alignment horizontal="center" vertical="bottom" textRotation="0" wrapText="false" indent="0" shrinkToFit="false"/>
      <protection locked="true" hidden="false"/>
    </xf>
    <xf numFmtId="166" fontId="4" fillId="0" borderId="0" xfId="25" applyFont="false" applyBorder="false" applyAlignment="true" applyProtection="true">
      <alignment horizontal="center" vertical="bottom" textRotation="0" wrapText="false" indent="0" shrinkToFit="false"/>
      <protection locked="true" hidden="false"/>
    </xf>
    <xf numFmtId="164" fontId="4" fillId="0" borderId="0" xfId="25" applyFont="false" applyBorder="false" applyAlignment="true" applyProtection="true">
      <alignment horizontal="center" vertical="bottom" textRotation="0" wrapText="false" indent="0" shrinkToFit="false"/>
      <protection locked="true" hidden="false"/>
    </xf>
    <xf numFmtId="174" fontId="4" fillId="0" borderId="0" xfId="25" applyFont="false" applyBorder="false" applyAlignment="true" applyProtection="true">
      <alignment horizontal="center" vertical="bottom" textRotation="0" wrapText="false" indent="0" shrinkToFit="false"/>
      <protection locked="true" hidden="false"/>
    </xf>
    <xf numFmtId="174" fontId="4" fillId="0" borderId="0" xfId="25" applyFont="false" applyBorder="false" applyAlignment="true" applyProtection="false">
      <alignment horizontal="center" vertical="bottom" textRotation="0" wrapText="false" indent="0" shrinkToFit="false"/>
      <protection locked="true" hidden="false"/>
    </xf>
    <xf numFmtId="164" fontId="62" fillId="0" borderId="1" xfId="25" applyFont="true" applyBorder="true" applyAlignment="true" applyProtection="false">
      <alignment horizontal="center" vertical="bottom" textRotation="0" wrapText="false" indent="0" shrinkToFit="false"/>
      <protection locked="true" hidden="false"/>
    </xf>
    <xf numFmtId="164" fontId="4" fillId="0" borderId="1" xfId="25" applyFont="true" applyBorder="true" applyAlignment="false" applyProtection="false">
      <alignment horizontal="general" vertical="bottom" textRotation="0" wrapText="false" indent="0" shrinkToFit="false"/>
      <protection locked="true" hidden="false"/>
    </xf>
    <xf numFmtId="164" fontId="4" fillId="0" borderId="1" xfId="25" applyFont="false" applyBorder="true" applyAlignment="false" applyProtection="false">
      <alignment horizontal="general" vertical="bottom" textRotation="0" wrapText="false" indent="0" shrinkToFit="false"/>
      <protection locked="true" hidden="false"/>
    </xf>
    <xf numFmtId="167" fontId="4" fillId="0" borderId="0" xfId="25"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4" fontId="69" fillId="0" borderId="0"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true" applyAlignment="true" applyProtection="false">
      <alignment horizontal="center"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64" fontId="69"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6" fontId="4" fillId="0" borderId="0" xfId="0" applyFont="true" applyBorder="true" applyAlignment="true" applyProtection="false">
      <alignment horizontal="left" vertical="bottom" textRotation="0" wrapText="false" indent="0" shrinkToFit="false"/>
      <protection locked="true" hidden="false"/>
    </xf>
    <xf numFmtId="166" fontId="69" fillId="0" borderId="0" xfId="0" applyFont="true" applyBorder="true" applyAlignment="true" applyProtection="false">
      <alignment horizontal="center" vertical="bottom" textRotation="0" wrapText="false" indent="0" shrinkToFit="false"/>
      <protection locked="true" hidden="false"/>
    </xf>
    <xf numFmtId="164" fontId="69" fillId="0" borderId="0" xfId="0" applyFont="true" applyBorder="false" applyAlignment="true" applyProtection="false">
      <alignment horizontal="center" vertical="bottom" textRotation="0" wrapText="false" indent="0" shrinkToFit="false"/>
      <protection locked="true" hidden="false"/>
    </xf>
    <xf numFmtId="164" fontId="69" fillId="9" borderId="0" xfId="0" applyFont="true" applyBorder="false" applyAlignment="false" applyProtection="false">
      <alignment horizontal="general" vertical="bottom" textRotation="0" wrapText="false" indent="0" shrinkToFit="false"/>
      <protection locked="true" hidden="false"/>
    </xf>
  </cellXfs>
  <cellStyles count="1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ENTER VALUE" xfId="21" builtinId="53" customBuiltin="true"/>
    <cellStyle name="ENTER VALUE 2" xfId="22" builtinId="53" customBuiltin="true"/>
    <cellStyle name="ENTER VALUE 3" xfId="23" builtinId="53" customBuiltin="true"/>
    <cellStyle name="ENTER VALUE 4" xfId="24" builtinId="53" customBuiltin="true"/>
    <cellStyle name="Normal 2" xfId="25" builtinId="53" customBuiltin="true"/>
    <cellStyle name="Normal 3" xfId="26" builtinId="53" customBuiltin="true"/>
    <cellStyle name="Normal 3 2" xfId="27" builtinId="53" customBuiltin="true"/>
    <cellStyle name="Style 1" xfId="28" builtinId="53" customBuiltin="true"/>
    <cellStyle name="Style 2" xfId="29" builtinId="53" customBuiltin="true"/>
    <cellStyle name="UNIT" xfId="30" builtinId="53" customBuiltin="true"/>
    <cellStyle name="*unknown*" xfId="20" builtinId="8" customBuiltin="false"/>
  </cellStyles>
  <dxfs count="38">
    <dxf>
      <fill>
        <patternFill>
          <bgColor rgb="FFFF0000"/>
        </patternFill>
      </fill>
    </dxf>
    <dxf>
      <font>
        <color rgb="FFFFFFFF"/>
      </font>
      <fill>
        <patternFill>
          <bgColor rgb="FFFFFFFF"/>
        </patternFill>
      </fill>
      <border diagonalUp="false" diagonalDown="false">
        <left/>
        <right/>
        <top/>
        <bottom/>
        <diagonal/>
      </border>
    </dxf>
    <dxf>
      <font>
        <color rgb="FFFFFFFF"/>
      </font>
      <fill>
        <patternFill>
          <bgColor rgb="FFFFFFFF"/>
        </patternFill>
      </fill>
      <border diagonalUp="false" diagonalDown="false">
        <left/>
        <right/>
        <top/>
        <bottom style="thin"/>
        <diagonal/>
      </border>
    </dxf>
    <dxf>
      <font>
        <color rgb="FFFFFFFF"/>
      </font>
      <fill>
        <patternFill>
          <bgColor rgb="FFFFFFFF"/>
        </patternFill>
      </fill>
      <border diagonalUp="false" diagonalDown="false">
        <left/>
        <right/>
        <top style="thin"/>
        <bottom style="thin"/>
        <diagonal/>
      </border>
    </dxf>
    <dxf>
      <font>
        <color rgb="FFFFFFFF"/>
      </font>
      <fill>
        <patternFill>
          <bgColor rgb="FFFFFFFF"/>
        </patternFill>
      </fill>
      <border diagonalUp="false" diagonalDown="false">
        <left/>
        <right/>
        <top style="thin"/>
        <bottom/>
        <diagonal/>
      </border>
    </dxf>
    <dxf>
      <fill>
        <patternFill>
          <bgColor rgb="FFFF0000"/>
        </patternFill>
      </fill>
    </dxf>
    <dxf>
      <fill>
        <patternFill>
          <bgColor rgb="FFFFFF00"/>
        </patternFill>
      </fill>
    </dxf>
    <dxf>
      <font>
        <color rgb="FFFFFFFF"/>
      </font>
    </dxf>
    <dxf>
      <font>
        <color rgb="FFFFFFFF"/>
      </font>
    </dxf>
    <dxf>
      <font>
        <color rgb="FFFFFFFF"/>
      </font>
    </dxf>
    <dxf>
      <fill>
        <patternFill>
          <bgColor rgb="FFFF0000"/>
        </patternFill>
      </fill>
    </dxf>
    <dxf>
      <fill>
        <patternFill>
          <bgColor rgb="FF953735"/>
        </patternFill>
      </fill>
    </dxf>
    <dxf>
      <fill>
        <patternFill>
          <bgColor rgb="FFFF0000"/>
        </patternFill>
      </fill>
    </dxf>
    <dxf>
      <fill>
        <patternFill>
          <bgColor rgb="FFFF0000"/>
        </patternFill>
      </fill>
    </dxf>
    <dxf>
      <fill>
        <patternFill>
          <bgColor rgb="FFFF0000"/>
        </patternFill>
      </fill>
    </dxf>
    <dxf>
      <fill>
        <patternFill>
          <bgColor rgb="FFFFFF00"/>
        </patternFill>
      </fill>
    </dxf>
    <dxf>
      <font>
        <color rgb="FFFFFFFF"/>
      </font>
      <fill>
        <patternFill>
          <bgColor rgb="FFFFFFFF"/>
        </patternFill>
      </fill>
      <border diagonalUp="false" diagonalDown="false">
        <left/>
        <right/>
        <top/>
        <bottom/>
        <diagonal/>
      </border>
    </dxf>
    <dxf>
      <font>
        <strike val="1"/>
        <color rgb="FFBFBFBF"/>
      </font>
      <fill>
        <patternFill>
          <bgColor rgb="00FFFFFF"/>
        </patternFill>
      </fill>
    </dxf>
    <dxf>
      <font>
        <strike val="0"/>
        <color rgb="FFFFFFFF"/>
      </font>
      <fill>
        <patternFill>
          <bgColor rgb="00FFFFFF"/>
        </patternFill>
      </fill>
    </dxf>
    <dxf>
      <font>
        <color rgb="FFFFFFFF"/>
      </font>
      <fill>
        <patternFill>
          <bgColor rgb="FFFFFFFF"/>
        </patternFill>
      </fill>
    </dxf>
    <dxf>
      <fill>
        <patternFill>
          <bgColor rgb="FFFF0000"/>
        </patternFill>
      </fill>
    </dxf>
    <dxf>
      <fill>
        <patternFill>
          <bgColor rgb="FFFF0000"/>
        </patternFill>
      </fill>
    </dxf>
    <dxf>
      <fill>
        <patternFill>
          <bgColor rgb="FFFF0000"/>
        </patternFill>
      </fill>
    </dxf>
    <dxf>
      <font>
        <color rgb="FFFFFFFF"/>
      </font>
      <fill>
        <patternFill>
          <bgColor rgb="FFFFFFFF"/>
        </patternFill>
      </fill>
      <border diagonalUp="false" diagonalDown="false">
        <left/>
        <right/>
        <top/>
        <bottom/>
        <diagonal/>
      </border>
    </dxf>
    <dxf>
      <font>
        <color rgb="FFFFFFFF"/>
      </font>
      <fill>
        <patternFill>
          <bgColor rgb="FFFFFFFF"/>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color rgb="FFFFFFFF"/>
      </font>
      <fill>
        <patternFill>
          <bgColor rgb="FFFFFFFF"/>
        </patternFill>
      </fill>
    </dxf>
    <dxf>
      <font>
        <color rgb="FFFFFFFF"/>
      </font>
      <fill>
        <patternFill>
          <bgColor rgb="FFFFFFFF"/>
        </patternFill>
      </fill>
    </dxf>
    <dxf>
      <fill>
        <patternFill>
          <bgColor rgb="00FFFFFF"/>
        </patternFill>
      </fill>
    </dxf>
    <dxf>
      <fill>
        <patternFill>
          <bgColor rgb="00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78787"/>
      <rgbColor rgb="FF953735"/>
      <rgbColor rgb="FFFFFFCC"/>
      <rgbColor rgb="FFCCFFFF"/>
      <rgbColor rgb="FF660066"/>
      <rgbColor rgb="FFD99694"/>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7B7B7"/>
      <rgbColor rgb="FFFF99CC"/>
      <rgbColor rgb="FFCC99FF"/>
      <rgbColor rgb="FFC3D69B"/>
      <rgbColor rgb="FF4A7EBB"/>
      <rgbColor rgb="FF33CCCC"/>
      <rgbColor rgb="FF99CC00"/>
      <rgbColor rgb="FFFFCC00"/>
      <rgbColor rgb="FFFF9900"/>
      <rgbColor rgb="FFFF6600"/>
      <rgbColor rgb="FF8064A2"/>
      <rgbColor rgb="FF969696"/>
      <rgbColor rgb="FF003366"/>
      <rgbColor rgb="FF339966"/>
      <rgbColor rgb="FF003300"/>
      <rgbColor rgb="FF333300"/>
      <rgbColor rgb="FF993300"/>
      <rgbColor rgb="FFBE4B48"/>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externalLink" Target="externalLinks/externalLink2.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plotArea>
      <c:layout>
        <c:manualLayout>
          <c:layoutTarget val="inner"/>
          <c:xMode val="edge"/>
          <c:yMode val="edge"/>
          <c:x val="0.126729138777332"/>
          <c:y val="0.106118902817426"/>
          <c:w val="0.831325301204819"/>
          <c:h val="0.76902072731786"/>
        </c:manualLayout>
      </c:layout>
      <c:scatterChart>
        <c:scatterStyle val="line"/>
        <c:varyColors val="0"/>
        <c:ser>
          <c:idx val="0"/>
          <c:order val="0"/>
          <c:tx>
            <c:strRef>
              <c:f>"Temp Derated FET SOA (t=Tfault)"</c:f>
              <c:strCache>
                <c:ptCount val="1"/>
                <c:pt idx="0">
                  <c:v>Temp Derated FET SOA (t=Tfault)</c:v>
                </c:pt>
              </c:strCache>
            </c:strRef>
          </c:tx>
          <c:spPr>
            <a:solidFill>
              <a:srgbClr val="008000"/>
            </a:solidFill>
            <a:ln w="25560">
              <a:solidFill>
                <a:srgbClr val="008000"/>
              </a:solidFill>
              <a:round/>
            </a:ln>
          </c:spPr>
          <c:marker>
            <c:symbol val="none"/>
          </c:marker>
          <c:dLbls>
            <c:numFmt formatCode="0.00" sourceLinked="1"/>
            <c:dLblPos val="r"/>
            <c:showLegendKey val="0"/>
            <c:showVal val="0"/>
            <c:showCatName val="0"/>
            <c:showSerName val="0"/>
            <c:showPercent val="0"/>
            <c:showLeaderLines val="0"/>
          </c:dLbls>
          <c:xVal>
            <c:numRef>
              <c:f>Equations!$R$184:$R$263</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Equations!$V$184:$V$263</c:f>
              <c:numCache>
                <c:formatCode>General</c:formatCode>
                <c:ptCount val="80"/>
                <c:pt idx="0">
                  <c:v>1457.01296322977</c:v>
                </c:pt>
                <c:pt idx="1">
                  <c:v>728.506481614884</c:v>
                </c:pt>
                <c:pt idx="2">
                  <c:v>485.670987743256</c:v>
                </c:pt>
                <c:pt idx="3">
                  <c:v>364.253240807442</c:v>
                </c:pt>
                <c:pt idx="4">
                  <c:v>291.402592645954</c:v>
                </c:pt>
                <c:pt idx="5">
                  <c:v>242.835493871628</c:v>
                </c:pt>
                <c:pt idx="6">
                  <c:v>208.144709032824</c:v>
                </c:pt>
                <c:pt idx="7">
                  <c:v>182.126620403721</c:v>
                </c:pt>
                <c:pt idx="8">
                  <c:v>161.890329247752</c:v>
                </c:pt>
                <c:pt idx="9">
                  <c:v>145.701296322977</c:v>
                </c:pt>
                <c:pt idx="10">
                  <c:v>132.455723929979</c:v>
                </c:pt>
                <c:pt idx="11">
                  <c:v>121.417746935814</c:v>
                </c:pt>
                <c:pt idx="12">
                  <c:v>112.077920248444</c:v>
                </c:pt>
                <c:pt idx="13">
                  <c:v>104.072354516412</c:v>
                </c:pt>
                <c:pt idx="14">
                  <c:v>97.1341975486512</c:v>
                </c:pt>
                <c:pt idx="15">
                  <c:v>91.0633102018605</c:v>
                </c:pt>
                <c:pt idx="16">
                  <c:v>85.7066448958687</c:v>
                </c:pt>
                <c:pt idx="17">
                  <c:v>80.945164623876</c:v>
                </c:pt>
                <c:pt idx="18">
                  <c:v>76.6848928015668</c:v>
                </c:pt>
                <c:pt idx="19">
                  <c:v>72.8506481614884</c:v>
                </c:pt>
                <c:pt idx="20">
                  <c:v>69.381569677608</c:v>
                </c:pt>
                <c:pt idx="21">
                  <c:v>66.2278619649895</c:v>
                </c:pt>
                <c:pt idx="22">
                  <c:v>63.3483897056421</c:v>
                </c:pt>
                <c:pt idx="23">
                  <c:v>60.708873467907</c:v>
                </c:pt>
                <c:pt idx="24">
                  <c:v>58.2805185291907</c:v>
                </c:pt>
                <c:pt idx="25">
                  <c:v>56.0389601242219</c:v>
                </c:pt>
                <c:pt idx="26">
                  <c:v>53.963443082584</c:v>
                </c:pt>
                <c:pt idx="27">
                  <c:v>52.036177258206</c:v>
                </c:pt>
                <c:pt idx="28">
                  <c:v>50.2418263182679</c:v>
                </c:pt>
                <c:pt idx="29">
                  <c:v>48.5670987743256</c:v>
                </c:pt>
                <c:pt idx="30">
                  <c:v>47.0004181687022</c:v>
                </c:pt>
                <c:pt idx="31">
                  <c:v>45.5316551009303</c:v>
                </c:pt>
                <c:pt idx="32">
                  <c:v>44.1519079766597</c:v>
                </c:pt>
                <c:pt idx="33">
                  <c:v>42.8533224479344</c:v>
                </c:pt>
                <c:pt idx="34">
                  <c:v>41.6289418065648</c:v>
                </c:pt>
                <c:pt idx="35">
                  <c:v>40.472582311938</c:v>
                </c:pt>
                <c:pt idx="36">
                  <c:v>39.3787287359397</c:v>
                </c:pt>
                <c:pt idx="37">
                  <c:v>38.3424464007834</c:v>
                </c:pt>
                <c:pt idx="38">
                  <c:v>37.3593067494812</c:v>
                </c:pt>
                <c:pt idx="39">
                  <c:v>36.4253240807442</c:v>
                </c:pt>
                <c:pt idx="40">
                  <c:v>35.5369015421895</c:v>
                </c:pt>
                <c:pt idx="41">
                  <c:v>34.690784838804</c:v>
                </c:pt>
                <c:pt idx="42">
                  <c:v>33.8840224006923</c:v>
                </c:pt>
                <c:pt idx="43">
                  <c:v>33.1139309824947</c:v>
                </c:pt>
                <c:pt idx="44">
                  <c:v>32.3780658495504</c:v>
                </c:pt>
                <c:pt idx="45">
                  <c:v>31.6741948528211</c:v>
                </c:pt>
                <c:pt idx="46">
                  <c:v>31.0002758133993</c:v>
                </c:pt>
                <c:pt idx="47">
                  <c:v>30.3544367339535</c:v>
                </c:pt>
                <c:pt idx="48">
                  <c:v>29.7349584332606</c:v>
                </c:pt>
                <c:pt idx="49">
                  <c:v>29.1402592645954</c:v>
                </c:pt>
                <c:pt idx="50">
                  <c:v>28.5688816319562</c:v>
                </c:pt>
                <c:pt idx="51">
                  <c:v>28.0194800621109</c:v>
                </c:pt>
                <c:pt idx="52">
                  <c:v>27.4908106269768</c:v>
                </c:pt>
                <c:pt idx="53">
                  <c:v>26.981721541292</c:v>
                </c:pt>
                <c:pt idx="54">
                  <c:v>26.4911447859958</c:v>
                </c:pt>
                <c:pt idx="55">
                  <c:v>26.018088629103</c:v>
                </c:pt>
                <c:pt idx="56">
                  <c:v>25.5616309338556</c:v>
                </c:pt>
                <c:pt idx="57">
                  <c:v>25.1209131591339</c:v>
                </c:pt>
                <c:pt idx="58">
                  <c:v>24.6951349699961</c:v>
                </c:pt>
                <c:pt idx="59">
                  <c:v>24.2835493871628</c:v>
                </c:pt>
                <c:pt idx="60">
                  <c:v>23.8854584136028</c:v>
                </c:pt>
                <c:pt idx="61">
                  <c:v>23.5002090843511</c:v>
                </c:pt>
                <c:pt idx="62">
                  <c:v>23.127189892536</c:v>
                </c:pt>
                <c:pt idx="63">
                  <c:v>22.7658275504651</c:v>
                </c:pt>
                <c:pt idx="64">
                  <c:v>22.4155840496887</c:v>
                </c:pt>
                <c:pt idx="65">
                  <c:v>22.0759539883298</c:v>
                </c:pt>
                <c:pt idx="66">
                  <c:v>21.7464621377577</c:v>
                </c:pt>
                <c:pt idx="67">
                  <c:v>21.4266612239672</c:v>
                </c:pt>
                <c:pt idx="68">
                  <c:v>21.1161299018807</c:v>
                </c:pt>
                <c:pt idx="69">
                  <c:v>20.8144709032824</c:v>
                </c:pt>
                <c:pt idx="70">
                  <c:v>20.5213093412643</c:v>
                </c:pt>
                <c:pt idx="71">
                  <c:v>20.236291155969</c:v>
                </c:pt>
                <c:pt idx="72">
                  <c:v>19.959081688079</c:v>
                </c:pt>
                <c:pt idx="73">
                  <c:v>19.6893643679698</c:v>
                </c:pt>
                <c:pt idx="74">
                  <c:v>19.4268395097302</c:v>
                </c:pt>
                <c:pt idx="75">
                  <c:v>19.1712232003917</c:v>
                </c:pt>
                <c:pt idx="76">
                  <c:v>18.9222462757113</c:v>
                </c:pt>
                <c:pt idx="77">
                  <c:v>18.6796533747406</c:v>
                </c:pt>
                <c:pt idx="78">
                  <c:v>18.4432020661996</c:v>
                </c:pt>
                <c:pt idx="79">
                  <c:v>18.2126620403721</c:v>
                </c:pt>
              </c:numCache>
            </c:numRef>
          </c:yVal>
          <c:smooth val="0"/>
        </c:ser>
        <c:ser>
          <c:idx val="1"/>
          <c:order val="1"/>
          <c:tx>
            <c:strRef>
              <c:f>"Typ Device SOA Limit"</c:f>
              <c:strCache>
                <c:ptCount val="1"/>
                <c:pt idx="0">
                  <c:v>Typ Device SOA Limit</c:v>
                </c:pt>
              </c:strCache>
            </c:strRef>
          </c:tx>
          <c:spPr>
            <a:solidFill>
              <a:srgbClr val="ff0000"/>
            </a:solidFill>
            <a:ln w="25560">
              <a:solidFill>
                <a:srgbClr val="ff0000"/>
              </a:solidFill>
              <a:round/>
            </a:ln>
          </c:spPr>
          <c:marker>
            <c:symbol val="none"/>
          </c:marker>
          <c:dLbls>
            <c:numFmt formatCode="0.00" sourceLinked="1"/>
            <c:dLblPos val="r"/>
            <c:showLegendKey val="0"/>
            <c:showVal val="0"/>
            <c:showCatName val="0"/>
            <c:showSerName val="0"/>
            <c:showPercent val="0"/>
            <c:showLeaderLines val="0"/>
          </c:dLbls>
          <c:xVal>
            <c:numRef>
              <c:f>Equations!$R$184:$R$263</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Equations!$T$184:$T$263</c:f>
              <c:numCache>
                <c:formatCode>General</c:formatCode>
                <c:ptCount val="80"/>
                <c:pt idx="0">
                  <c:v>86.6666666666667</c:v>
                </c:pt>
                <c:pt idx="1">
                  <c:v>86.6666666666667</c:v>
                </c:pt>
                <c:pt idx="2">
                  <c:v>86.6666666666667</c:v>
                </c:pt>
                <c:pt idx="3">
                  <c:v>86.6666666666667</c:v>
                </c:pt>
                <c:pt idx="4">
                  <c:v>86.6666666666667</c:v>
                </c:pt>
                <c:pt idx="5">
                  <c:v>86.6666666666667</c:v>
                </c:pt>
                <c:pt idx="6">
                  <c:v>80</c:v>
                </c:pt>
                <c:pt idx="7">
                  <c:v>70.4166666666667</c:v>
                </c:pt>
                <c:pt idx="8">
                  <c:v>62.962962962963</c:v>
                </c:pt>
                <c:pt idx="9">
                  <c:v>57</c:v>
                </c:pt>
                <c:pt idx="10">
                  <c:v>52.1212121212121</c:v>
                </c:pt>
                <c:pt idx="11">
                  <c:v>48.0555555555556</c:v>
                </c:pt>
                <c:pt idx="12">
                  <c:v>44.6153846153846</c:v>
                </c:pt>
                <c:pt idx="13">
                  <c:v>41.6666666666667</c:v>
                </c:pt>
                <c:pt idx="14">
                  <c:v>39.1111111111111</c:v>
                </c:pt>
                <c:pt idx="15">
                  <c:v>36.875</c:v>
                </c:pt>
                <c:pt idx="16">
                  <c:v>34.9019607843137</c:v>
                </c:pt>
                <c:pt idx="17">
                  <c:v>33.1481481481481</c:v>
                </c:pt>
                <c:pt idx="18">
                  <c:v>31.578947368421</c:v>
                </c:pt>
                <c:pt idx="19">
                  <c:v>30.1666666666667</c:v>
                </c:pt>
                <c:pt idx="20">
                  <c:v>28.8888888888889</c:v>
                </c:pt>
                <c:pt idx="21">
                  <c:v>27.7272727272727</c:v>
                </c:pt>
                <c:pt idx="22">
                  <c:v>26.6666666666667</c:v>
                </c:pt>
                <c:pt idx="23">
                  <c:v>25.6944444444444</c:v>
                </c:pt>
                <c:pt idx="24">
                  <c:v>24.8</c:v>
                </c:pt>
                <c:pt idx="25">
                  <c:v>23.974358974359</c:v>
                </c:pt>
                <c:pt idx="26">
                  <c:v>23.2098765432099</c:v>
                </c:pt>
                <c:pt idx="27">
                  <c:v>22.5</c:v>
                </c:pt>
                <c:pt idx="28">
                  <c:v>21.8390804597701</c:v>
                </c:pt>
                <c:pt idx="29">
                  <c:v>21.2222222222222</c:v>
                </c:pt>
                <c:pt idx="30">
                  <c:v>20.6451612903226</c:v>
                </c:pt>
                <c:pt idx="31">
                  <c:v>20.1041666666667</c:v>
                </c:pt>
                <c:pt idx="32">
                  <c:v>19.5959595959596</c:v>
                </c:pt>
                <c:pt idx="33">
                  <c:v>19.1176470588235</c:v>
                </c:pt>
                <c:pt idx="34">
                  <c:v>18.6666666666667</c:v>
                </c:pt>
                <c:pt idx="35">
                  <c:v>18.2407407407407</c:v>
                </c:pt>
                <c:pt idx="36">
                  <c:v>17.8378378378378</c:v>
                </c:pt>
                <c:pt idx="37">
                  <c:v>17.4561403508772</c:v>
                </c:pt>
                <c:pt idx="38">
                  <c:v>17.0940170940171</c:v>
                </c:pt>
                <c:pt idx="39">
                  <c:v>16.75</c:v>
                </c:pt>
                <c:pt idx="40">
                  <c:v>16.4227642276423</c:v>
                </c:pt>
                <c:pt idx="41">
                  <c:v>16.1111111111111</c:v>
                </c:pt>
                <c:pt idx="42">
                  <c:v>15.8139534883721</c:v>
                </c:pt>
                <c:pt idx="43">
                  <c:v>15.530303030303</c:v>
                </c:pt>
                <c:pt idx="44">
                  <c:v>15.2592592592593</c:v>
                </c:pt>
                <c:pt idx="45">
                  <c:v>15</c:v>
                </c:pt>
                <c:pt idx="46">
                  <c:v>14.7517730496454</c:v>
                </c:pt>
                <c:pt idx="47">
                  <c:v>14.5138888888889</c:v>
                </c:pt>
                <c:pt idx="48">
                  <c:v>14.2857142857143</c:v>
                </c:pt>
                <c:pt idx="49">
                  <c:v>14.0666666666667</c:v>
                </c:pt>
                <c:pt idx="50">
                  <c:v>5E-010</c:v>
                </c:pt>
                <c:pt idx="51">
                  <c:v>5E-010</c:v>
                </c:pt>
                <c:pt idx="52">
                  <c:v>5E-010</c:v>
                </c:pt>
                <c:pt idx="53">
                  <c:v>5E-010</c:v>
                </c:pt>
                <c:pt idx="54">
                  <c:v>5E-010</c:v>
                </c:pt>
                <c:pt idx="55">
                  <c:v>5E-010</c:v>
                </c:pt>
                <c:pt idx="56">
                  <c:v>5E-010</c:v>
                </c:pt>
                <c:pt idx="57">
                  <c:v>5E-010</c:v>
                </c:pt>
                <c:pt idx="58">
                  <c:v>5E-010</c:v>
                </c:pt>
                <c:pt idx="59">
                  <c:v>5E-010</c:v>
                </c:pt>
                <c:pt idx="60">
                  <c:v>5E-010</c:v>
                </c:pt>
                <c:pt idx="61">
                  <c:v>5E-010</c:v>
                </c:pt>
                <c:pt idx="62">
                  <c:v>5E-010</c:v>
                </c:pt>
                <c:pt idx="63">
                  <c:v>5E-010</c:v>
                </c:pt>
                <c:pt idx="64">
                  <c:v>5E-010</c:v>
                </c:pt>
                <c:pt idx="65">
                  <c:v>5E-010</c:v>
                </c:pt>
                <c:pt idx="66">
                  <c:v>5E-010</c:v>
                </c:pt>
                <c:pt idx="67">
                  <c:v>5E-010</c:v>
                </c:pt>
                <c:pt idx="68">
                  <c:v>5E-010</c:v>
                </c:pt>
                <c:pt idx="69">
                  <c:v>5E-010</c:v>
                </c:pt>
                <c:pt idx="70">
                  <c:v>5E-010</c:v>
                </c:pt>
                <c:pt idx="71">
                  <c:v>5E-010</c:v>
                </c:pt>
                <c:pt idx="72">
                  <c:v>5E-010</c:v>
                </c:pt>
                <c:pt idx="73">
                  <c:v>5E-010</c:v>
                </c:pt>
                <c:pt idx="74">
                  <c:v>5E-010</c:v>
                </c:pt>
                <c:pt idx="75">
                  <c:v>5E-010</c:v>
                </c:pt>
                <c:pt idx="76">
                  <c:v>5E-010</c:v>
                </c:pt>
                <c:pt idx="77">
                  <c:v>5E-010</c:v>
                </c:pt>
                <c:pt idx="78">
                  <c:v>5E-010</c:v>
                </c:pt>
                <c:pt idx="79">
                  <c:v>5E-010</c:v>
                </c:pt>
              </c:numCache>
            </c:numRef>
          </c:yVal>
          <c:smooth val="0"/>
        </c:ser>
        <c:axId val="79816487"/>
        <c:axId val="11318469"/>
      </c:scatterChart>
      <c:valAx>
        <c:axId val="79816487"/>
        <c:scaling>
          <c:logBase val="10"/>
          <c:orientation val="minMax"/>
          <c:max val="100"/>
          <c:min val="1"/>
        </c:scaling>
        <c:delete val="0"/>
        <c:axPos val="b"/>
        <c:majorGridlines>
          <c:spPr>
            <a:ln w="3240">
              <a:solidFill>
                <a:srgbClr val="000000"/>
              </a:solidFill>
              <a:round/>
            </a:ln>
          </c:spPr>
        </c:majorGridlines>
        <c:minorGridlines>
          <c:spPr>
            <a:ln w="3240">
              <a:solidFill>
                <a:srgbClr val="000000"/>
              </a:solidFill>
              <a:round/>
            </a:ln>
          </c:spPr>
        </c:minorGridlines>
        <c:title>
          <c:tx>
            <c:rich>
              <a:bodyPr rot="0"/>
              <a:lstStyle/>
              <a:p>
                <a:pPr>
                  <a:defRPr b="1" sz="900" spc="-1" strike="noStrike">
                    <a:solidFill>
                      <a:srgbClr val="000000"/>
                    </a:solidFill>
                    <a:latin typeface="Arial"/>
                    <a:ea typeface="Calibri"/>
                  </a:defRPr>
                </a:pPr>
                <a:r>
                  <a:rPr b="1" sz="900" spc="-1" strike="noStrike">
                    <a:solidFill>
                      <a:srgbClr val="000000"/>
                    </a:solidFill>
                    <a:latin typeface="Arial"/>
                    <a:ea typeface="Calibri"/>
                  </a:rPr>
                  <a:t>VDS - Drain-to-Source Voltage - V</a:t>
                </a:r>
              </a:p>
            </c:rich>
          </c:tx>
          <c:layout>
            <c:manualLayout>
              <c:xMode val="edge"/>
              <c:yMode val="edge"/>
              <c:x val="0.374564926372155"/>
              <c:y val="0.94017624425965"/>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pc="-1" strike="noStrike">
                <a:solidFill>
                  <a:srgbClr val="000000"/>
                </a:solidFill>
                <a:latin typeface="Arial"/>
                <a:ea typeface="Arial"/>
              </a:defRPr>
            </a:pPr>
          </a:p>
        </c:txPr>
        <c:crossAx val="11318469"/>
        <c:crossesAt val="0.1"/>
        <c:crossBetween val="midCat"/>
      </c:valAx>
      <c:valAx>
        <c:axId val="11318469"/>
        <c:scaling>
          <c:logBase val="10"/>
          <c:orientation val="minMax"/>
          <c:max val="1000"/>
          <c:min val="1"/>
        </c:scaling>
        <c:delete val="0"/>
        <c:axPos val="l"/>
        <c:majorGridlines>
          <c:spPr>
            <a:ln w="3240">
              <a:solidFill>
                <a:srgbClr val="000000"/>
              </a:solidFill>
              <a:round/>
            </a:ln>
          </c:spPr>
        </c:majorGridlines>
        <c:minorGridlines>
          <c:spPr>
            <a:ln w="3240">
              <a:solidFill>
                <a:srgbClr val="000000"/>
              </a:solidFill>
              <a:round/>
            </a:ln>
          </c:spPr>
        </c:minorGridlines>
        <c:title>
          <c:tx>
            <c:rich>
              <a:bodyPr rot="-5400000"/>
              <a:lstStyle/>
              <a:p>
                <a:pPr>
                  <a:defRPr b="1" sz="900" spc="-1" strike="noStrike">
                    <a:solidFill>
                      <a:srgbClr val="000000"/>
                    </a:solidFill>
                    <a:latin typeface="Arial"/>
                    <a:ea typeface="Calibri"/>
                  </a:defRPr>
                </a:pPr>
                <a:r>
                  <a:rPr b="1" sz="900" spc="-1" strike="noStrike">
                    <a:solidFill>
                      <a:srgbClr val="000000"/>
                    </a:solidFill>
                    <a:latin typeface="Arial"/>
                    <a:ea typeface="Calibri"/>
                  </a:rPr>
                  <a:t>IDS - Drain-to-Source Current - A</a:t>
                </a:r>
              </a:p>
            </c:rich>
          </c:tx>
          <c:layout>
            <c:manualLayout>
              <c:xMode val="edge"/>
              <c:yMode val="edge"/>
              <c:x val="0.0200803212851406"/>
              <c:y val="0.214844234826859"/>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pc="-1" strike="noStrike">
                <a:solidFill>
                  <a:srgbClr val="000000"/>
                </a:solidFill>
                <a:latin typeface="Arial"/>
                <a:ea typeface="Arial"/>
              </a:defRPr>
            </a:pPr>
          </a:p>
        </c:txPr>
        <c:crossAx val="79816487"/>
        <c:crosses val="autoZero"/>
        <c:crossBetween val="midCat"/>
      </c:valAx>
      <c:spPr>
        <a:solidFill>
          <a:srgbClr val="ffffff"/>
        </a:solidFill>
        <a:ln w="12600">
          <a:solidFill>
            <a:srgbClr val="808080"/>
          </a:solidFill>
          <a:round/>
        </a:ln>
      </c:spPr>
    </c:plotArea>
    <c:legend>
      <c:layout>
        <c:manualLayout>
          <c:xMode val="edge"/>
          <c:yMode val="edge"/>
          <c:x val="0.436866577943633"/>
          <c:y val="0.0589330814665724"/>
          <c:w val="0.517134126482365"/>
          <c:h val="0.226445734366054"/>
        </c:manualLayout>
      </c:layout>
      <c:spPr>
        <a:solidFill>
          <a:srgbClr val="ffffff"/>
        </a:solidFill>
        <a:ln w="3240">
          <a:solidFill>
            <a:srgbClr val="000000"/>
          </a:solidFill>
          <a:round/>
        </a:ln>
      </c:spPr>
      <c:txPr>
        <a:bodyPr/>
        <a:lstStyle/>
        <a:p>
          <a:pPr>
            <a:defRPr b="0" sz="800" spc="-1" strike="noStrike">
              <a:solidFill>
                <a:srgbClr val="000000"/>
              </a:solidFill>
              <a:latin typeface="Arial"/>
              <a:ea typeface="Arial"/>
            </a:defRPr>
          </a:pPr>
        </a:p>
      </c:txPr>
    </c:legend>
    <c:plotVisOnly val="0"/>
    <c:dispBlanksAs val="gap"/>
  </c:chart>
  <c:spPr>
    <a:solidFill>
      <a:srgbClr val="ffffff"/>
    </a:solidFill>
    <a:ln w="12600">
      <a:solidFill>
        <a:srgbClr val="000000"/>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600" spc="-1" strike="noStrike">
                <a:solidFill>
                  <a:srgbClr val="000000"/>
                </a:solidFill>
                <a:latin typeface="Calibri"/>
              </a:defRPr>
            </a:pPr>
            <a:r>
              <a:rPr b="1" sz="1600" spc="-1" strike="noStrike">
                <a:solidFill>
                  <a:srgbClr val="000000"/>
                </a:solidFill>
                <a:latin typeface="Calibri"/>
              </a:rPr>
              <a:t>ILOAD and IFET vs Vout (VIN = VINMAX)                                               </a:t>
            </a:r>
          </a:p>
        </c:rich>
      </c:tx>
      <c:layout>
        <c:manualLayout>
          <c:xMode val="edge"/>
          <c:yMode val="edge"/>
          <c:x val="0.164829530889516"/>
          <c:y val="0.0307062436028659"/>
        </c:manualLayout>
      </c:layout>
      <c:overlay val="0"/>
      <c:spPr>
        <a:solidFill>
          <a:srgbClr val="ffffff"/>
        </a:solidFill>
        <a:ln>
          <a:noFill/>
        </a:ln>
      </c:spPr>
    </c:title>
    <c:autoTitleDeleted val="0"/>
    <c:plotArea>
      <c:layout>
        <c:manualLayout>
          <c:layoutTarget val="inner"/>
          <c:xMode val="edge"/>
          <c:yMode val="edge"/>
          <c:x val="0.151999316473001"/>
          <c:y val="0.138344545188652"/>
          <c:w val="0.768626110731374"/>
          <c:h val="0.701520912547528"/>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Start_up!$C$10:$C$111</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Start_up!$G$10:$G$112</c:f>
              <c:numCache>
                <c:formatCode>General</c:formatCode>
                <c:ptCount val="103"/>
                <c:pt idx="0">
                  <c:v>6.15384615384615</c:v>
                </c:pt>
                <c:pt idx="1">
                  <c:v>6.15384615384615</c:v>
                </c:pt>
                <c:pt idx="2">
                  <c:v>6.15384615384615</c:v>
                </c:pt>
                <c:pt idx="3">
                  <c:v>6.15384615384615</c:v>
                </c:pt>
                <c:pt idx="4">
                  <c:v>6.15384615384615</c:v>
                </c:pt>
                <c:pt idx="5">
                  <c:v>6.15384615384615</c:v>
                </c:pt>
                <c:pt idx="6">
                  <c:v>6.15384615384615</c:v>
                </c:pt>
                <c:pt idx="7">
                  <c:v>6.15384615384615</c:v>
                </c:pt>
                <c:pt idx="8">
                  <c:v>6.15384615384615</c:v>
                </c:pt>
                <c:pt idx="9">
                  <c:v>6.15384615384615</c:v>
                </c:pt>
                <c:pt idx="10">
                  <c:v>6.15384615384615</c:v>
                </c:pt>
                <c:pt idx="11">
                  <c:v>6.15384615384615</c:v>
                </c:pt>
                <c:pt idx="12">
                  <c:v>6.15384615384615</c:v>
                </c:pt>
                <c:pt idx="13">
                  <c:v>6.15384615384615</c:v>
                </c:pt>
                <c:pt idx="14">
                  <c:v>6.15384615384615</c:v>
                </c:pt>
                <c:pt idx="15">
                  <c:v>6.15384615384615</c:v>
                </c:pt>
                <c:pt idx="16">
                  <c:v>6.15384615384615</c:v>
                </c:pt>
                <c:pt idx="17">
                  <c:v>6.15384615384615</c:v>
                </c:pt>
                <c:pt idx="18">
                  <c:v>6.15384615384615</c:v>
                </c:pt>
                <c:pt idx="19">
                  <c:v>6.15384615384615</c:v>
                </c:pt>
                <c:pt idx="20">
                  <c:v>6.15384615384615</c:v>
                </c:pt>
                <c:pt idx="21">
                  <c:v>6.15384615384615</c:v>
                </c:pt>
                <c:pt idx="22">
                  <c:v>6.15384615384615</c:v>
                </c:pt>
                <c:pt idx="23">
                  <c:v>6.15384615384615</c:v>
                </c:pt>
                <c:pt idx="24">
                  <c:v>6.15384615384615</c:v>
                </c:pt>
                <c:pt idx="25">
                  <c:v>6.15384615384615</c:v>
                </c:pt>
                <c:pt idx="26">
                  <c:v>6.15384615384615</c:v>
                </c:pt>
                <c:pt idx="27">
                  <c:v>6.15384615384615</c:v>
                </c:pt>
                <c:pt idx="28">
                  <c:v>6.15384615384615</c:v>
                </c:pt>
                <c:pt idx="29">
                  <c:v>6.15384615384615</c:v>
                </c:pt>
                <c:pt idx="30">
                  <c:v>6.15384615384615</c:v>
                </c:pt>
                <c:pt idx="31">
                  <c:v>6.15384615384615</c:v>
                </c:pt>
                <c:pt idx="32">
                  <c:v>6.15384615384615</c:v>
                </c:pt>
                <c:pt idx="33">
                  <c:v>6.15384615384615</c:v>
                </c:pt>
                <c:pt idx="34">
                  <c:v>6.15384615384615</c:v>
                </c:pt>
                <c:pt idx="35">
                  <c:v>6.15384615384615</c:v>
                </c:pt>
                <c:pt idx="36">
                  <c:v>6.15384615384615</c:v>
                </c:pt>
                <c:pt idx="37">
                  <c:v>6.15384615384615</c:v>
                </c:pt>
                <c:pt idx="38">
                  <c:v>6.15384615384615</c:v>
                </c:pt>
                <c:pt idx="39">
                  <c:v>6.15384615384615</c:v>
                </c:pt>
                <c:pt idx="40">
                  <c:v>6.15384615384615</c:v>
                </c:pt>
                <c:pt idx="41">
                  <c:v>6.15384615384615</c:v>
                </c:pt>
                <c:pt idx="42">
                  <c:v>6.15384615384615</c:v>
                </c:pt>
                <c:pt idx="43">
                  <c:v>6.15384615384615</c:v>
                </c:pt>
                <c:pt idx="44">
                  <c:v>6.15384615384615</c:v>
                </c:pt>
                <c:pt idx="45">
                  <c:v>6.15384615384615</c:v>
                </c:pt>
                <c:pt idx="46">
                  <c:v>6.15384615384615</c:v>
                </c:pt>
                <c:pt idx="47">
                  <c:v>6.15384615384615</c:v>
                </c:pt>
                <c:pt idx="48">
                  <c:v>6.15384615384615</c:v>
                </c:pt>
                <c:pt idx="49">
                  <c:v>6.15384615384615</c:v>
                </c:pt>
                <c:pt idx="50">
                  <c:v>6.15384615384615</c:v>
                </c:pt>
                <c:pt idx="51">
                  <c:v>6.15384615384615</c:v>
                </c:pt>
                <c:pt idx="52">
                  <c:v>6.15384615384615</c:v>
                </c:pt>
                <c:pt idx="53">
                  <c:v>6.15384615384615</c:v>
                </c:pt>
                <c:pt idx="54">
                  <c:v>6.15384615384615</c:v>
                </c:pt>
                <c:pt idx="55">
                  <c:v>6.15384615384615</c:v>
                </c:pt>
                <c:pt idx="56">
                  <c:v>6.15384615384615</c:v>
                </c:pt>
                <c:pt idx="57">
                  <c:v>6.15384615384615</c:v>
                </c:pt>
                <c:pt idx="58">
                  <c:v>6.15384615384615</c:v>
                </c:pt>
                <c:pt idx="59">
                  <c:v>6.15384615384615</c:v>
                </c:pt>
                <c:pt idx="60">
                  <c:v>6.15384615384615</c:v>
                </c:pt>
                <c:pt idx="61">
                  <c:v>6.15384615384615</c:v>
                </c:pt>
                <c:pt idx="62">
                  <c:v>6.15384615384615</c:v>
                </c:pt>
                <c:pt idx="63">
                  <c:v>6.15384615384615</c:v>
                </c:pt>
                <c:pt idx="64">
                  <c:v>6.15384615384615</c:v>
                </c:pt>
                <c:pt idx="65">
                  <c:v>6.15384615384615</c:v>
                </c:pt>
                <c:pt idx="66">
                  <c:v>6.15384615384615</c:v>
                </c:pt>
                <c:pt idx="67">
                  <c:v>6.15384615384615</c:v>
                </c:pt>
                <c:pt idx="68">
                  <c:v>6.15384615384615</c:v>
                </c:pt>
                <c:pt idx="69">
                  <c:v>6.15384615384615</c:v>
                </c:pt>
                <c:pt idx="70">
                  <c:v>6.15384615384615</c:v>
                </c:pt>
                <c:pt idx="71">
                  <c:v>6.15384615384615</c:v>
                </c:pt>
                <c:pt idx="72">
                  <c:v>6.15384615384615</c:v>
                </c:pt>
                <c:pt idx="73">
                  <c:v>6.15384615384615</c:v>
                </c:pt>
                <c:pt idx="74">
                  <c:v>6.15384615384615</c:v>
                </c:pt>
                <c:pt idx="75">
                  <c:v>6.15384615384615</c:v>
                </c:pt>
                <c:pt idx="76">
                  <c:v>6.15384615384615</c:v>
                </c:pt>
                <c:pt idx="77">
                  <c:v>6.15384615384615</c:v>
                </c:pt>
                <c:pt idx="78">
                  <c:v>6.15384615384615</c:v>
                </c:pt>
                <c:pt idx="79">
                  <c:v>6.15384615384615</c:v>
                </c:pt>
                <c:pt idx="80">
                  <c:v>6.15384615384615</c:v>
                </c:pt>
                <c:pt idx="81">
                  <c:v>6.15384615384615</c:v>
                </c:pt>
                <c:pt idx="82">
                  <c:v>6.15384615384615</c:v>
                </c:pt>
                <c:pt idx="83">
                  <c:v>6.15384615384615</c:v>
                </c:pt>
                <c:pt idx="84">
                  <c:v>6.15384615384615</c:v>
                </c:pt>
                <c:pt idx="85">
                  <c:v>6.15384615384615</c:v>
                </c:pt>
                <c:pt idx="86">
                  <c:v>6.15384615384615</c:v>
                </c:pt>
                <c:pt idx="87">
                  <c:v>6.15384615384615</c:v>
                </c:pt>
                <c:pt idx="88">
                  <c:v>6.15384615384615</c:v>
                </c:pt>
                <c:pt idx="89">
                  <c:v>6.15384615384615</c:v>
                </c:pt>
                <c:pt idx="90">
                  <c:v>6.15384615384615</c:v>
                </c:pt>
                <c:pt idx="91">
                  <c:v>6.15384615384615</c:v>
                </c:pt>
                <c:pt idx="92">
                  <c:v>6.15384615384615</c:v>
                </c:pt>
                <c:pt idx="93">
                  <c:v>6.15384615384615</c:v>
                </c:pt>
                <c:pt idx="94">
                  <c:v>6.15384615384615</c:v>
                </c:pt>
                <c:pt idx="95">
                  <c:v>6.15384615384615</c:v>
                </c:pt>
                <c:pt idx="96">
                  <c:v>6.15384615384615</c:v>
                </c:pt>
                <c:pt idx="97">
                  <c:v>6.15384615384615</c:v>
                </c:pt>
                <c:pt idx="98">
                  <c:v>6.15384615384615</c:v>
                </c:pt>
                <c:pt idx="99">
                  <c:v>6.15384615384615</c:v>
                </c:pt>
                <c:pt idx="100">
                  <c:v>6.15384615384615</c:v>
                </c:pt>
                <c:pt idx="101">
                  <c:v>6.15384615384615</c:v>
                </c:pt>
                <c:pt idx="102">
                  <c:v>6.15384615384615</c:v>
                </c:pt>
              </c:numCache>
            </c:numRef>
          </c:yVal>
          <c:smooth val="1"/>
        </c:ser>
        <c:axId val="43816744"/>
        <c:axId val="76449590"/>
      </c:scatterChart>
      <c:valAx>
        <c:axId val="43816744"/>
        <c:scaling>
          <c:orientation val="minMax"/>
        </c:scaling>
        <c:delete val="0"/>
        <c:axPos val="b"/>
        <c:majorGridlines>
          <c:spPr>
            <a:ln w="9360">
              <a:solidFill>
                <a:srgbClr val="878787"/>
              </a:solidFill>
              <a:round/>
            </a:ln>
          </c:spPr>
        </c:majorGridlines>
        <c:minorGridlines>
          <c:spPr>
            <a:ln w="9360">
              <a:solidFill>
                <a:srgbClr val="b7b7b7"/>
              </a:solidFill>
              <a:round/>
            </a:ln>
          </c:spPr>
        </c:min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Output Voltage (V)</a:t>
                </a:r>
              </a:p>
            </c:rich>
          </c:tx>
          <c:layout>
            <c:manualLayout>
              <c:xMode val="edge"/>
              <c:yMode val="edge"/>
              <c:x val="0.409040416987097"/>
              <c:y val="0.925281473899693"/>
            </c:manualLayout>
          </c:layout>
          <c:overlay val="0"/>
          <c:spPr>
            <a:noFill/>
            <a:ln>
              <a:noFill/>
            </a:ln>
          </c:spPr>
        </c:title>
        <c:numFmt formatCode="0.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76449590"/>
        <c:crosses val="autoZero"/>
        <c:crossBetween val="midCat"/>
      </c:valAx>
      <c:valAx>
        <c:axId val="76449590"/>
        <c:scaling>
          <c:orientation val="minMax"/>
          <c:min val="0"/>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Current (A)</a:t>
                </a:r>
              </a:p>
            </c:rich>
          </c:tx>
          <c:layout>
            <c:manualLayout>
              <c:xMode val="edge"/>
              <c:yMode val="edge"/>
              <c:x val="0.0258907972314791"/>
              <c:y val="0.402105570989911"/>
            </c:manualLayout>
          </c:layout>
          <c:overlay val="0"/>
          <c:spPr>
            <a:noFill/>
            <a:ln>
              <a:noFill/>
            </a:ln>
          </c:spPr>
        </c:title>
        <c:numFmt formatCode="0.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43816744"/>
        <c:crosses val="autoZero"/>
        <c:crossBetween val="midCat"/>
      </c:valAx>
      <c:spPr>
        <a:solidFill>
          <a:srgbClr val="ffffff"/>
        </a:solidFill>
        <a:ln>
          <a:noFill/>
        </a:ln>
      </c:spPr>
    </c:plotArea>
    <c:legend>
      <c:layout>
        <c:manualLayout>
          <c:xMode val="edge"/>
          <c:yMode val="edge"/>
          <c:x val="0.730335419979314"/>
          <c:y val="0.308180579939233"/>
          <c:w val="0.214622300929856"/>
          <c:h val="0.18516649249276"/>
        </c:manualLayout>
      </c:layout>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600" spc="-1" strike="noStrike">
                <a:solidFill>
                  <a:srgbClr val="000000"/>
                </a:solidFill>
                <a:latin typeface="Calibri"/>
              </a:defRPr>
            </a:pPr>
            <a:r>
              <a:rPr b="1" sz="1600" spc="-1" strike="noStrike">
                <a:solidFill>
                  <a:srgbClr val="000000"/>
                </a:solidFill>
                <a:latin typeface="Calibri"/>
              </a:rPr>
              <a:t>Start - up: FET Power (VIN = VINMAX)</a:t>
            </a:r>
          </a:p>
        </c:rich>
      </c:tx>
      <c:layout>
        <c:manualLayout>
          <c:xMode val="edge"/>
          <c:yMode val="edge"/>
          <c:x val="0.196289796941589"/>
          <c:y val="0.00491525423728814"/>
        </c:manualLayout>
      </c:layout>
      <c:overlay val="0"/>
      <c:spPr>
        <a:solidFill>
          <a:srgbClr val="ffffff"/>
        </a:solidFill>
        <a:ln>
          <a:noFill/>
        </a:ln>
      </c:spPr>
    </c:title>
    <c:autoTitleDeleted val="0"/>
    <c:plotArea>
      <c:layout>
        <c:manualLayout>
          <c:layoutTarget val="inner"/>
          <c:xMode val="edge"/>
          <c:yMode val="edge"/>
          <c:x val="0.138953877005348"/>
          <c:y val="0.0810169491525424"/>
          <c:w val="0.767630347593583"/>
          <c:h val="0.71864406779661"/>
        </c:manualLayout>
      </c:layout>
      <c:scatterChart>
        <c:scatterStyle val="line"/>
        <c:varyColors val="0"/>
        <c:ser>
          <c:idx val="0"/>
          <c:order val="0"/>
          <c:tx>
            <c:strRef>
              <c:f>"FET power dissipation"</c:f>
              <c:strCache>
                <c:ptCount val="1"/>
                <c:pt idx="0">
                  <c:v>FET power dissipation</c:v>
                </c:pt>
              </c:strCache>
            </c:strRef>
          </c:tx>
          <c:spPr>
            <a:solidFill>
              <a:srgbClr val="4a7ebb"/>
            </a:solidFill>
            <a:ln w="28440">
              <a:solidFill>
                <a:srgbClr val="4a7ebb"/>
              </a:solidFill>
              <a:round/>
            </a:ln>
          </c:spPr>
          <c:marker>
            <c:symbol val="none"/>
          </c:marker>
          <c:dLbls>
            <c:numFmt formatCode="General" sourceLinked="1"/>
            <c:dLblPos val="r"/>
            <c:showLegendKey val="0"/>
            <c:showVal val="0"/>
            <c:showCatName val="0"/>
            <c:showSerName val="0"/>
            <c:showPercent val="0"/>
            <c:showLeaderLines val="0"/>
          </c:dLbls>
          <c:xVal>
            <c:numRef>
              <c:f>Start_up!$K$8:$K$115</c:f>
              <c:numCache>
                <c:formatCode>General</c:formatCode>
                <c:ptCount val="108"/>
                <c:pt idx="0">
                  <c:v>-1</c:v>
                </c:pt>
                <c:pt idx="1">
                  <c:v>-0.01</c:v>
                </c:pt>
                <c:pt idx="2">
                  <c:v>0</c:v>
                </c:pt>
                <c:pt idx="3">
                  <c:v>0.3125</c:v>
                </c:pt>
                <c:pt idx="4">
                  <c:v>0.625</c:v>
                </c:pt>
                <c:pt idx="5">
                  <c:v>0.9375</c:v>
                </c:pt>
                <c:pt idx="6">
                  <c:v>1.25</c:v>
                </c:pt>
                <c:pt idx="7">
                  <c:v>1.5625</c:v>
                </c:pt>
                <c:pt idx="8">
                  <c:v>1.875</c:v>
                </c:pt>
                <c:pt idx="9">
                  <c:v>2.1875</c:v>
                </c:pt>
                <c:pt idx="10">
                  <c:v>2.5</c:v>
                </c:pt>
                <c:pt idx="11">
                  <c:v>2.8125</c:v>
                </c:pt>
                <c:pt idx="12">
                  <c:v>3.125</c:v>
                </c:pt>
                <c:pt idx="13">
                  <c:v>3.4375</c:v>
                </c:pt>
                <c:pt idx="14">
                  <c:v>3.75</c:v>
                </c:pt>
                <c:pt idx="15">
                  <c:v>4.0625</c:v>
                </c:pt>
                <c:pt idx="16">
                  <c:v>4.375</c:v>
                </c:pt>
                <c:pt idx="17">
                  <c:v>4.6875</c:v>
                </c:pt>
                <c:pt idx="18">
                  <c:v>5</c:v>
                </c:pt>
                <c:pt idx="19">
                  <c:v>5.3125</c:v>
                </c:pt>
                <c:pt idx="20">
                  <c:v>5.625</c:v>
                </c:pt>
                <c:pt idx="21">
                  <c:v>5.9375</c:v>
                </c:pt>
                <c:pt idx="22">
                  <c:v>6.25</c:v>
                </c:pt>
                <c:pt idx="23">
                  <c:v>6.5625</c:v>
                </c:pt>
                <c:pt idx="24">
                  <c:v>6.875</c:v>
                </c:pt>
                <c:pt idx="25">
                  <c:v>7.1875</c:v>
                </c:pt>
                <c:pt idx="26">
                  <c:v>7.5</c:v>
                </c:pt>
                <c:pt idx="27">
                  <c:v>7.8125</c:v>
                </c:pt>
                <c:pt idx="28">
                  <c:v>8.125</c:v>
                </c:pt>
                <c:pt idx="29">
                  <c:v>8.4375</c:v>
                </c:pt>
                <c:pt idx="30">
                  <c:v>8.75</c:v>
                </c:pt>
                <c:pt idx="31">
                  <c:v>9.0625</c:v>
                </c:pt>
                <c:pt idx="32">
                  <c:v>9.375</c:v>
                </c:pt>
                <c:pt idx="33">
                  <c:v>9.6875</c:v>
                </c:pt>
                <c:pt idx="34">
                  <c:v>10</c:v>
                </c:pt>
                <c:pt idx="35">
                  <c:v>10.3125</c:v>
                </c:pt>
                <c:pt idx="36">
                  <c:v>10.625</c:v>
                </c:pt>
                <c:pt idx="37">
                  <c:v>10.9375</c:v>
                </c:pt>
                <c:pt idx="38">
                  <c:v>11.25</c:v>
                </c:pt>
                <c:pt idx="39">
                  <c:v>11.5625</c:v>
                </c:pt>
                <c:pt idx="40">
                  <c:v>11.875</c:v>
                </c:pt>
                <c:pt idx="41">
                  <c:v>12.1875</c:v>
                </c:pt>
                <c:pt idx="42">
                  <c:v>12.5</c:v>
                </c:pt>
                <c:pt idx="43">
                  <c:v>12.8125</c:v>
                </c:pt>
                <c:pt idx="44">
                  <c:v>13.125</c:v>
                </c:pt>
                <c:pt idx="45">
                  <c:v>13.4375</c:v>
                </c:pt>
                <c:pt idx="46">
                  <c:v>13.75</c:v>
                </c:pt>
                <c:pt idx="47">
                  <c:v>14.0625</c:v>
                </c:pt>
                <c:pt idx="48">
                  <c:v>14.375</c:v>
                </c:pt>
                <c:pt idx="49">
                  <c:v>14.6875</c:v>
                </c:pt>
                <c:pt idx="50">
                  <c:v>15</c:v>
                </c:pt>
                <c:pt idx="51">
                  <c:v>15.3125</c:v>
                </c:pt>
                <c:pt idx="52">
                  <c:v>15.625</c:v>
                </c:pt>
                <c:pt idx="53">
                  <c:v>15.9375</c:v>
                </c:pt>
                <c:pt idx="54">
                  <c:v>16.25</c:v>
                </c:pt>
                <c:pt idx="55">
                  <c:v>16.5625</c:v>
                </c:pt>
                <c:pt idx="56">
                  <c:v>16.875</c:v>
                </c:pt>
                <c:pt idx="57">
                  <c:v>17.1875</c:v>
                </c:pt>
                <c:pt idx="58">
                  <c:v>17.5</c:v>
                </c:pt>
                <c:pt idx="59">
                  <c:v>17.8125</c:v>
                </c:pt>
                <c:pt idx="60">
                  <c:v>18.125</c:v>
                </c:pt>
                <c:pt idx="61">
                  <c:v>18.4375</c:v>
                </c:pt>
                <c:pt idx="62">
                  <c:v>18.75</c:v>
                </c:pt>
                <c:pt idx="63">
                  <c:v>19.0625</c:v>
                </c:pt>
                <c:pt idx="64">
                  <c:v>19.375</c:v>
                </c:pt>
                <c:pt idx="65">
                  <c:v>19.6875</c:v>
                </c:pt>
                <c:pt idx="66">
                  <c:v>20</c:v>
                </c:pt>
                <c:pt idx="67">
                  <c:v>20.3125</c:v>
                </c:pt>
                <c:pt idx="68">
                  <c:v>20.625</c:v>
                </c:pt>
                <c:pt idx="69">
                  <c:v>20.9375</c:v>
                </c:pt>
                <c:pt idx="70">
                  <c:v>21.25</c:v>
                </c:pt>
                <c:pt idx="71">
                  <c:v>21.5625</c:v>
                </c:pt>
                <c:pt idx="72">
                  <c:v>21.875</c:v>
                </c:pt>
                <c:pt idx="73">
                  <c:v>22.1875</c:v>
                </c:pt>
                <c:pt idx="74">
                  <c:v>22.5</c:v>
                </c:pt>
                <c:pt idx="75">
                  <c:v>22.8125</c:v>
                </c:pt>
                <c:pt idx="76">
                  <c:v>23.125</c:v>
                </c:pt>
                <c:pt idx="77">
                  <c:v>23.4375</c:v>
                </c:pt>
                <c:pt idx="78">
                  <c:v>23.75</c:v>
                </c:pt>
                <c:pt idx="79">
                  <c:v>24.0625</c:v>
                </c:pt>
                <c:pt idx="80">
                  <c:v>24.375</c:v>
                </c:pt>
                <c:pt idx="81">
                  <c:v>24.6875</c:v>
                </c:pt>
                <c:pt idx="82">
                  <c:v>25</c:v>
                </c:pt>
                <c:pt idx="83">
                  <c:v>25.3125</c:v>
                </c:pt>
                <c:pt idx="84">
                  <c:v>25.625</c:v>
                </c:pt>
                <c:pt idx="85">
                  <c:v>25.9375</c:v>
                </c:pt>
                <c:pt idx="86">
                  <c:v>26.25</c:v>
                </c:pt>
                <c:pt idx="87">
                  <c:v>26.5625</c:v>
                </c:pt>
                <c:pt idx="88">
                  <c:v>26.875</c:v>
                </c:pt>
                <c:pt idx="89">
                  <c:v>27.1875</c:v>
                </c:pt>
                <c:pt idx="90">
                  <c:v>27.5</c:v>
                </c:pt>
                <c:pt idx="91">
                  <c:v>27.8125</c:v>
                </c:pt>
                <c:pt idx="92">
                  <c:v>28.125</c:v>
                </c:pt>
                <c:pt idx="93">
                  <c:v>28.4375</c:v>
                </c:pt>
                <c:pt idx="94">
                  <c:v>28.75</c:v>
                </c:pt>
                <c:pt idx="95">
                  <c:v>29.0625</c:v>
                </c:pt>
                <c:pt idx="96">
                  <c:v>29.375</c:v>
                </c:pt>
                <c:pt idx="97">
                  <c:v>29.6875</c:v>
                </c:pt>
                <c:pt idx="98">
                  <c:v>30</c:v>
                </c:pt>
                <c:pt idx="99">
                  <c:v>30.3125</c:v>
                </c:pt>
                <c:pt idx="100">
                  <c:v>30.625</c:v>
                </c:pt>
                <c:pt idx="101">
                  <c:v>30.9375</c:v>
                </c:pt>
                <c:pt idx="102">
                  <c:v>31.25</c:v>
                </c:pt>
                <c:pt idx="103">
                  <c:v>31.5625</c:v>
                </c:pt>
                <c:pt idx="104">
                  <c:v>31.875</c:v>
                </c:pt>
                <c:pt idx="105">
                  <c:v>32.1875</c:v>
                </c:pt>
                <c:pt idx="106">
                  <c:v>32.5</c:v>
                </c:pt>
                <c:pt idx="107">
                  <c:v>33</c:v>
                </c:pt>
              </c:numCache>
            </c:numRef>
          </c:xVal>
          <c:yVal>
            <c:numRef>
              <c:f>Start_up!$O$8:$O$115</c:f>
              <c:numCache>
                <c:formatCode>General</c:formatCode>
                <c:ptCount val="108"/>
                <c:pt idx="0">
                  <c:v>0</c:v>
                </c:pt>
                <c:pt idx="1">
                  <c:v>0</c:v>
                </c:pt>
                <c:pt idx="2">
                  <c:v>307.692307692308</c:v>
                </c:pt>
                <c:pt idx="3">
                  <c:v>304.733727810651</c:v>
                </c:pt>
                <c:pt idx="4">
                  <c:v>301.775147928994</c:v>
                </c:pt>
                <c:pt idx="5">
                  <c:v>298.816568047337</c:v>
                </c:pt>
                <c:pt idx="6">
                  <c:v>295.857988165681</c:v>
                </c:pt>
                <c:pt idx="7">
                  <c:v>292.899408284024</c:v>
                </c:pt>
                <c:pt idx="8">
                  <c:v>289.940828402367</c:v>
                </c:pt>
                <c:pt idx="9">
                  <c:v>286.98224852071</c:v>
                </c:pt>
                <c:pt idx="10">
                  <c:v>284.023668639053</c:v>
                </c:pt>
                <c:pt idx="11">
                  <c:v>281.065088757396</c:v>
                </c:pt>
                <c:pt idx="12">
                  <c:v>278.10650887574</c:v>
                </c:pt>
                <c:pt idx="13">
                  <c:v>275.147928994083</c:v>
                </c:pt>
                <c:pt idx="14">
                  <c:v>272.189349112426</c:v>
                </c:pt>
                <c:pt idx="15">
                  <c:v>269.230769230769</c:v>
                </c:pt>
                <c:pt idx="16">
                  <c:v>266.272189349112</c:v>
                </c:pt>
                <c:pt idx="17">
                  <c:v>263.313609467456</c:v>
                </c:pt>
                <c:pt idx="18">
                  <c:v>260.355029585799</c:v>
                </c:pt>
                <c:pt idx="19">
                  <c:v>257.396449704142</c:v>
                </c:pt>
                <c:pt idx="20">
                  <c:v>254.437869822485</c:v>
                </c:pt>
                <c:pt idx="21">
                  <c:v>251.479289940828</c:v>
                </c:pt>
                <c:pt idx="22">
                  <c:v>248.520710059172</c:v>
                </c:pt>
                <c:pt idx="23">
                  <c:v>245.562130177515</c:v>
                </c:pt>
                <c:pt idx="24">
                  <c:v>242.603550295858</c:v>
                </c:pt>
                <c:pt idx="25">
                  <c:v>239.644970414201</c:v>
                </c:pt>
                <c:pt idx="26">
                  <c:v>236.686390532544</c:v>
                </c:pt>
                <c:pt idx="27">
                  <c:v>233.727810650888</c:v>
                </c:pt>
                <c:pt idx="28">
                  <c:v>230.769230769231</c:v>
                </c:pt>
                <c:pt idx="29">
                  <c:v>227.810650887574</c:v>
                </c:pt>
                <c:pt idx="30">
                  <c:v>224.852071005917</c:v>
                </c:pt>
                <c:pt idx="31">
                  <c:v>221.89349112426</c:v>
                </c:pt>
                <c:pt idx="32">
                  <c:v>218.934911242604</c:v>
                </c:pt>
                <c:pt idx="33">
                  <c:v>215.976331360947</c:v>
                </c:pt>
                <c:pt idx="34">
                  <c:v>213.01775147929</c:v>
                </c:pt>
                <c:pt idx="35">
                  <c:v>210.059171597633</c:v>
                </c:pt>
                <c:pt idx="36">
                  <c:v>207.100591715976</c:v>
                </c:pt>
                <c:pt idx="37">
                  <c:v>204.14201183432</c:v>
                </c:pt>
                <c:pt idx="38">
                  <c:v>201.183431952663</c:v>
                </c:pt>
                <c:pt idx="39">
                  <c:v>198.224852071006</c:v>
                </c:pt>
                <c:pt idx="40">
                  <c:v>195.266272189349</c:v>
                </c:pt>
                <c:pt idx="41">
                  <c:v>192.307692307692</c:v>
                </c:pt>
                <c:pt idx="42">
                  <c:v>189.349112426036</c:v>
                </c:pt>
                <c:pt idx="43">
                  <c:v>186.390532544379</c:v>
                </c:pt>
                <c:pt idx="44">
                  <c:v>183.431952662722</c:v>
                </c:pt>
                <c:pt idx="45">
                  <c:v>180.473372781065</c:v>
                </c:pt>
                <c:pt idx="46">
                  <c:v>177.514792899408</c:v>
                </c:pt>
                <c:pt idx="47">
                  <c:v>174.556213017751</c:v>
                </c:pt>
                <c:pt idx="48">
                  <c:v>171.597633136095</c:v>
                </c:pt>
                <c:pt idx="49">
                  <c:v>168.639053254438</c:v>
                </c:pt>
                <c:pt idx="50">
                  <c:v>165.680473372781</c:v>
                </c:pt>
                <c:pt idx="51">
                  <c:v>162.721893491124</c:v>
                </c:pt>
                <c:pt idx="52">
                  <c:v>159.763313609467</c:v>
                </c:pt>
                <c:pt idx="53">
                  <c:v>156.804733727811</c:v>
                </c:pt>
                <c:pt idx="54">
                  <c:v>153.846153846154</c:v>
                </c:pt>
                <c:pt idx="55">
                  <c:v>150.887573964497</c:v>
                </c:pt>
                <c:pt idx="56">
                  <c:v>147.92899408284</c:v>
                </c:pt>
                <c:pt idx="57">
                  <c:v>144.970414201183</c:v>
                </c:pt>
                <c:pt idx="58">
                  <c:v>142.011834319527</c:v>
                </c:pt>
                <c:pt idx="59">
                  <c:v>139.05325443787</c:v>
                </c:pt>
                <c:pt idx="60">
                  <c:v>136.094674556213</c:v>
                </c:pt>
                <c:pt idx="61">
                  <c:v>133.136094674556</c:v>
                </c:pt>
                <c:pt idx="62">
                  <c:v>130.177514792899</c:v>
                </c:pt>
                <c:pt idx="63">
                  <c:v>127.218934911243</c:v>
                </c:pt>
                <c:pt idx="64">
                  <c:v>124.260355029586</c:v>
                </c:pt>
                <c:pt idx="65">
                  <c:v>121.301775147929</c:v>
                </c:pt>
                <c:pt idx="66">
                  <c:v>118.343195266272</c:v>
                </c:pt>
                <c:pt idx="67">
                  <c:v>115.384615384615</c:v>
                </c:pt>
                <c:pt idx="68">
                  <c:v>112.426035502959</c:v>
                </c:pt>
                <c:pt idx="69">
                  <c:v>109.467455621302</c:v>
                </c:pt>
                <c:pt idx="70">
                  <c:v>106.508875739645</c:v>
                </c:pt>
                <c:pt idx="71">
                  <c:v>103.550295857988</c:v>
                </c:pt>
                <c:pt idx="72">
                  <c:v>100.591715976331</c:v>
                </c:pt>
                <c:pt idx="73">
                  <c:v>97.6331360946746</c:v>
                </c:pt>
                <c:pt idx="74">
                  <c:v>94.6745562130178</c:v>
                </c:pt>
                <c:pt idx="75">
                  <c:v>91.715976331361</c:v>
                </c:pt>
                <c:pt idx="76">
                  <c:v>88.7573964497041</c:v>
                </c:pt>
                <c:pt idx="77">
                  <c:v>85.7988165680473</c:v>
                </c:pt>
                <c:pt idx="78">
                  <c:v>82.8402366863906</c:v>
                </c:pt>
                <c:pt idx="79">
                  <c:v>79.8816568047337</c:v>
                </c:pt>
                <c:pt idx="80">
                  <c:v>76.9230769230769</c:v>
                </c:pt>
                <c:pt idx="81">
                  <c:v>73.9644970414201</c:v>
                </c:pt>
                <c:pt idx="82">
                  <c:v>71.0059171597633</c:v>
                </c:pt>
                <c:pt idx="83">
                  <c:v>68.0473372781065</c:v>
                </c:pt>
                <c:pt idx="84">
                  <c:v>65.0887573964497</c:v>
                </c:pt>
                <c:pt idx="85">
                  <c:v>62.1301775147929</c:v>
                </c:pt>
                <c:pt idx="86">
                  <c:v>59.1715976331361</c:v>
                </c:pt>
                <c:pt idx="87">
                  <c:v>56.2130177514793</c:v>
                </c:pt>
                <c:pt idx="88">
                  <c:v>53.2544378698225</c:v>
                </c:pt>
                <c:pt idx="89">
                  <c:v>50.2958579881657</c:v>
                </c:pt>
                <c:pt idx="90">
                  <c:v>47.3372781065089</c:v>
                </c:pt>
                <c:pt idx="91">
                  <c:v>44.3786982248521</c:v>
                </c:pt>
                <c:pt idx="92">
                  <c:v>41.4201183431952</c:v>
                </c:pt>
                <c:pt idx="93">
                  <c:v>38.4615384615385</c:v>
                </c:pt>
                <c:pt idx="94">
                  <c:v>35.5029585798817</c:v>
                </c:pt>
                <c:pt idx="95">
                  <c:v>32.5443786982248</c:v>
                </c:pt>
                <c:pt idx="96">
                  <c:v>29.585798816568</c:v>
                </c:pt>
                <c:pt idx="97">
                  <c:v>26.6272189349113</c:v>
                </c:pt>
                <c:pt idx="98">
                  <c:v>23.6686390532544</c:v>
                </c:pt>
                <c:pt idx="99">
                  <c:v>20.7100591715976</c:v>
                </c:pt>
                <c:pt idx="100">
                  <c:v>17.7514792899408</c:v>
                </c:pt>
                <c:pt idx="101">
                  <c:v>14.792899408284</c:v>
                </c:pt>
                <c:pt idx="102">
                  <c:v>11.8343195266272</c:v>
                </c:pt>
                <c:pt idx="103">
                  <c:v>8.87573964497042</c:v>
                </c:pt>
                <c:pt idx="104">
                  <c:v>5.91715976331364</c:v>
                </c:pt>
                <c:pt idx="105">
                  <c:v>2.95857988165678</c:v>
                </c:pt>
                <c:pt idx="106">
                  <c:v>0</c:v>
                </c:pt>
                <c:pt idx="107">
                  <c:v>0</c:v>
                </c:pt>
              </c:numCache>
            </c:numRef>
          </c:yVal>
          <c:smooth val="0"/>
        </c:ser>
        <c:axId val="36556"/>
        <c:axId val="20794103"/>
      </c:scatterChart>
      <c:valAx>
        <c:axId val="36556"/>
        <c:scaling>
          <c:orientation val="minMax"/>
          <c:min val="-1"/>
        </c:scaling>
        <c:delete val="0"/>
        <c:axPos val="b"/>
        <c:minorGridlines>
          <c:spPr>
            <a:ln w="9360">
              <a:solidFill>
                <a:srgbClr val="b7b7b7"/>
              </a:solidFill>
              <a:round/>
            </a:ln>
          </c:spPr>
        </c:min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Time (ms)</a:t>
                </a:r>
              </a:p>
            </c:rich>
          </c:tx>
          <c:layout>
            <c:manualLayout>
              <c:xMode val="edge"/>
              <c:yMode val="edge"/>
              <c:x val="0.4479819503635"/>
              <c:y val="0.90593220338983"/>
            </c:manualLayout>
          </c:layout>
          <c:overlay val="0"/>
          <c:spPr>
            <a:noFill/>
            <a:ln>
              <a:noFill/>
            </a:ln>
          </c:spPr>
        </c:title>
        <c:numFmt formatCode="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20794103"/>
        <c:crosses val="autoZero"/>
        <c:crossBetween val="midCat"/>
      </c:valAx>
      <c:valAx>
        <c:axId val="20794103"/>
        <c:scaling>
          <c:orientation val="minMax"/>
          <c:min val="0"/>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FET Power (W)</a:t>
                </a:r>
              </a:p>
            </c:rich>
          </c:tx>
          <c:layout>
            <c:manualLayout>
              <c:xMode val="edge"/>
              <c:yMode val="edge"/>
              <c:x val="0.0128687223197125"/>
              <c:y val="0.257457627118644"/>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36556"/>
        <c:crossesAt val="-1"/>
        <c:crossBetween val="midCat"/>
      </c:valAx>
      <c:spPr>
        <a:solidFill>
          <a:srgbClr val="ffffff"/>
        </a:solidFill>
        <a:ln>
          <a:noFill/>
        </a:ln>
      </c:spPr>
    </c:plotArea>
    <c:legend>
      <c:layout>
        <c:manualLayout>
          <c:xMode val="edge"/>
          <c:yMode val="edge"/>
          <c:x val="0.601426854180769"/>
          <c:y val="0.207672957058904"/>
          <c:w val="0.395152130373947"/>
          <c:h val="0.108488307341521"/>
        </c:manualLayout>
      </c:layout>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Load and FET current vs Vout</a:t>
            </a:r>
          </a:p>
        </c:rich>
      </c:tx>
      <c:overlay val="0"/>
      <c:spPr>
        <a:noFill/>
        <a:ln>
          <a:noFill/>
        </a:ln>
      </c:spPr>
    </c:title>
    <c:autoTitleDeleted val="0"/>
    <c:plotArea>
      <c:layout>
        <c:manualLayout>
          <c:layoutTarget val="inner"/>
          <c:xMode val="edge"/>
          <c:yMode val="edge"/>
          <c:x val="0.202763839763099"/>
          <c:y val="0.141783938207597"/>
          <c:w val="0.699596940034548"/>
          <c:h val="0.71188234049307"/>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Start_up!$C$10:$C$111</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Start_up!$G$10:$G$112</c:f>
              <c:numCache>
                <c:formatCode>General</c:formatCode>
                <c:ptCount val="103"/>
                <c:pt idx="0">
                  <c:v>6.15384615384615</c:v>
                </c:pt>
                <c:pt idx="1">
                  <c:v>6.15384615384615</c:v>
                </c:pt>
                <c:pt idx="2">
                  <c:v>6.15384615384615</c:v>
                </c:pt>
                <c:pt idx="3">
                  <c:v>6.15384615384615</c:v>
                </c:pt>
                <c:pt idx="4">
                  <c:v>6.15384615384615</c:v>
                </c:pt>
                <c:pt idx="5">
                  <c:v>6.15384615384615</c:v>
                </c:pt>
                <c:pt idx="6">
                  <c:v>6.15384615384615</c:v>
                </c:pt>
                <c:pt idx="7">
                  <c:v>6.15384615384615</c:v>
                </c:pt>
                <c:pt idx="8">
                  <c:v>6.15384615384615</c:v>
                </c:pt>
                <c:pt idx="9">
                  <c:v>6.15384615384615</c:v>
                </c:pt>
                <c:pt idx="10">
                  <c:v>6.15384615384615</c:v>
                </c:pt>
                <c:pt idx="11">
                  <c:v>6.15384615384615</c:v>
                </c:pt>
                <c:pt idx="12">
                  <c:v>6.15384615384615</c:v>
                </c:pt>
                <c:pt idx="13">
                  <c:v>6.15384615384615</c:v>
                </c:pt>
                <c:pt idx="14">
                  <c:v>6.15384615384615</c:v>
                </c:pt>
                <c:pt idx="15">
                  <c:v>6.15384615384615</c:v>
                </c:pt>
                <c:pt idx="16">
                  <c:v>6.15384615384615</c:v>
                </c:pt>
                <c:pt idx="17">
                  <c:v>6.15384615384615</c:v>
                </c:pt>
                <c:pt idx="18">
                  <c:v>6.15384615384615</c:v>
                </c:pt>
                <c:pt idx="19">
                  <c:v>6.15384615384615</c:v>
                </c:pt>
                <c:pt idx="20">
                  <c:v>6.15384615384615</c:v>
                </c:pt>
                <c:pt idx="21">
                  <c:v>6.15384615384615</c:v>
                </c:pt>
                <c:pt idx="22">
                  <c:v>6.15384615384615</c:v>
                </c:pt>
                <c:pt idx="23">
                  <c:v>6.15384615384615</c:v>
                </c:pt>
                <c:pt idx="24">
                  <c:v>6.15384615384615</c:v>
                </c:pt>
                <c:pt idx="25">
                  <c:v>6.15384615384615</c:v>
                </c:pt>
                <c:pt idx="26">
                  <c:v>6.15384615384615</c:v>
                </c:pt>
                <c:pt idx="27">
                  <c:v>6.15384615384615</c:v>
                </c:pt>
                <c:pt idx="28">
                  <c:v>6.15384615384615</c:v>
                </c:pt>
                <c:pt idx="29">
                  <c:v>6.15384615384615</c:v>
                </c:pt>
                <c:pt idx="30">
                  <c:v>6.15384615384615</c:v>
                </c:pt>
                <c:pt idx="31">
                  <c:v>6.15384615384615</c:v>
                </c:pt>
                <c:pt idx="32">
                  <c:v>6.15384615384615</c:v>
                </c:pt>
                <c:pt idx="33">
                  <c:v>6.15384615384615</c:v>
                </c:pt>
                <c:pt idx="34">
                  <c:v>6.15384615384615</c:v>
                </c:pt>
                <c:pt idx="35">
                  <c:v>6.15384615384615</c:v>
                </c:pt>
                <c:pt idx="36">
                  <c:v>6.15384615384615</c:v>
                </c:pt>
                <c:pt idx="37">
                  <c:v>6.15384615384615</c:v>
                </c:pt>
                <c:pt idx="38">
                  <c:v>6.15384615384615</c:v>
                </c:pt>
                <c:pt idx="39">
                  <c:v>6.15384615384615</c:v>
                </c:pt>
                <c:pt idx="40">
                  <c:v>6.15384615384615</c:v>
                </c:pt>
                <c:pt idx="41">
                  <c:v>6.15384615384615</c:v>
                </c:pt>
                <c:pt idx="42">
                  <c:v>6.15384615384615</c:v>
                </c:pt>
                <c:pt idx="43">
                  <c:v>6.15384615384615</c:v>
                </c:pt>
                <c:pt idx="44">
                  <c:v>6.15384615384615</c:v>
                </c:pt>
                <c:pt idx="45">
                  <c:v>6.15384615384615</c:v>
                </c:pt>
                <c:pt idx="46">
                  <c:v>6.15384615384615</c:v>
                </c:pt>
                <c:pt idx="47">
                  <c:v>6.15384615384615</c:v>
                </c:pt>
                <c:pt idx="48">
                  <c:v>6.15384615384615</c:v>
                </c:pt>
                <c:pt idx="49">
                  <c:v>6.15384615384615</c:v>
                </c:pt>
                <c:pt idx="50">
                  <c:v>6.15384615384615</c:v>
                </c:pt>
                <c:pt idx="51">
                  <c:v>6.15384615384615</c:v>
                </c:pt>
                <c:pt idx="52">
                  <c:v>6.15384615384615</c:v>
                </c:pt>
                <c:pt idx="53">
                  <c:v>6.15384615384615</c:v>
                </c:pt>
                <c:pt idx="54">
                  <c:v>6.15384615384615</c:v>
                </c:pt>
                <c:pt idx="55">
                  <c:v>6.15384615384615</c:v>
                </c:pt>
                <c:pt idx="56">
                  <c:v>6.15384615384615</c:v>
                </c:pt>
                <c:pt idx="57">
                  <c:v>6.15384615384615</c:v>
                </c:pt>
                <c:pt idx="58">
                  <c:v>6.15384615384615</c:v>
                </c:pt>
                <c:pt idx="59">
                  <c:v>6.15384615384615</c:v>
                </c:pt>
                <c:pt idx="60">
                  <c:v>6.15384615384615</c:v>
                </c:pt>
                <c:pt idx="61">
                  <c:v>6.15384615384615</c:v>
                </c:pt>
                <c:pt idx="62">
                  <c:v>6.15384615384615</c:v>
                </c:pt>
                <c:pt idx="63">
                  <c:v>6.15384615384615</c:v>
                </c:pt>
                <c:pt idx="64">
                  <c:v>6.15384615384615</c:v>
                </c:pt>
                <c:pt idx="65">
                  <c:v>6.15384615384615</c:v>
                </c:pt>
                <c:pt idx="66">
                  <c:v>6.15384615384615</c:v>
                </c:pt>
                <c:pt idx="67">
                  <c:v>6.15384615384615</c:v>
                </c:pt>
                <c:pt idx="68">
                  <c:v>6.15384615384615</c:v>
                </c:pt>
                <c:pt idx="69">
                  <c:v>6.15384615384615</c:v>
                </c:pt>
                <c:pt idx="70">
                  <c:v>6.15384615384615</c:v>
                </c:pt>
                <c:pt idx="71">
                  <c:v>6.15384615384615</c:v>
                </c:pt>
                <c:pt idx="72">
                  <c:v>6.15384615384615</c:v>
                </c:pt>
                <c:pt idx="73">
                  <c:v>6.15384615384615</c:v>
                </c:pt>
                <c:pt idx="74">
                  <c:v>6.15384615384615</c:v>
                </c:pt>
                <c:pt idx="75">
                  <c:v>6.15384615384615</c:v>
                </c:pt>
                <c:pt idx="76">
                  <c:v>6.15384615384615</c:v>
                </c:pt>
                <c:pt idx="77">
                  <c:v>6.15384615384615</c:v>
                </c:pt>
                <c:pt idx="78">
                  <c:v>6.15384615384615</c:v>
                </c:pt>
                <c:pt idx="79">
                  <c:v>6.15384615384615</c:v>
                </c:pt>
                <c:pt idx="80">
                  <c:v>6.15384615384615</c:v>
                </c:pt>
                <c:pt idx="81">
                  <c:v>6.15384615384615</c:v>
                </c:pt>
                <c:pt idx="82">
                  <c:v>6.15384615384615</c:v>
                </c:pt>
                <c:pt idx="83">
                  <c:v>6.15384615384615</c:v>
                </c:pt>
                <c:pt idx="84">
                  <c:v>6.15384615384615</c:v>
                </c:pt>
                <c:pt idx="85">
                  <c:v>6.15384615384615</c:v>
                </c:pt>
                <c:pt idx="86">
                  <c:v>6.15384615384615</c:v>
                </c:pt>
                <c:pt idx="87">
                  <c:v>6.15384615384615</c:v>
                </c:pt>
                <c:pt idx="88">
                  <c:v>6.15384615384615</c:v>
                </c:pt>
                <c:pt idx="89">
                  <c:v>6.15384615384615</c:v>
                </c:pt>
                <c:pt idx="90">
                  <c:v>6.15384615384615</c:v>
                </c:pt>
                <c:pt idx="91">
                  <c:v>6.15384615384615</c:v>
                </c:pt>
                <c:pt idx="92">
                  <c:v>6.15384615384615</c:v>
                </c:pt>
                <c:pt idx="93">
                  <c:v>6.15384615384615</c:v>
                </c:pt>
                <c:pt idx="94">
                  <c:v>6.15384615384615</c:v>
                </c:pt>
                <c:pt idx="95">
                  <c:v>6.15384615384615</c:v>
                </c:pt>
                <c:pt idx="96">
                  <c:v>6.15384615384615</c:v>
                </c:pt>
                <c:pt idx="97">
                  <c:v>6.15384615384615</c:v>
                </c:pt>
                <c:pt idx="98">
                  <c:v>6.15384615384615</c:v>
                </c:pt>
                <c:pt idx="99">
                  <c:v>6.15384615384615</c:v>
                </c:pt>
                <c:pt idx="100">
                  <c:v>6.15384615384615</c:v>
                </c:pt>
                <c:pt idx="101">
                  <c:v>6.15384615384615</c:v>
                </c:pt>
                <c:pt idx="102">
                  <c:v>6.15384615384615</c:v>
                </c:pt>
              </c:numCache>
            </c:numRef>
          </c:yVal>
          <c:smooth val="1"/>
        </c:ser>
        <c:axId val="73383378"/>
        <c:axId val="65085165"/>
      </c:scatterChart>
      <c:valAx>
        <c:axId val="7338337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Output Voltage (V)</a:t>
                </a:r>
              </a:p>
            </c:rich>
          </c:tx>
          <c:overlay val="0"/>
          <c:spPr>
            <a:noFill/>
            <a:ln>
              <a:noFill/>
            </a:ln>
          </c:spPr>
        </c:title>
        <c:numFmt formatCode="0.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085165"/>
        <c:crosses val="autoZero"/>
        <c:crossBetween val="midCat"/>
      </c:valAx>
      <c:valAx>
        <c:axId val="65085165"/>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Current (A)</a:t>
                </a:r>
              </a:p>
            </c:rich>
          </c:tx>
          <c:overlay val="0"/>
          <c:spPr>
            <a:noFill/>
            <a:ln>
              <a:noFill/>
            </a:ln>
          </c:spPr>
        </c:title>
        <c:numFmt formatCode="0.0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383378"/>
        <c:crosses val="autoZero"/>
        <c:crossBetween val="midCat"/>
      </c:valAx>
      <c:spPr>
        <a:solidFill>
          <a:srgbClr val="ffffff"/>
        </a:solidFill>
        <a:ln>
          <a:noFill/>
        </a:ln>
      </c:spPr>
    </c:plotArea>
    <c:legend>
      <c:layout>
        <c:manualLayout>
          <c:xMode val="edge"/>
          <c:yMode val="edge"/>
          <c:x val="0.346242523587897"/>
          <c:y val="0.244791264891172"/>
          <c:w val="0.214622300929856"/>
          <c:h val="0.167924439552583"/>
        </c:manualLayout>
      </c:layout>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image" Target="../media/image81.wmf"/>
</Relationships>
</file>

<file path=xl/drawings/_rels/drawing2.xml.rels><?xml version="1.0" encoding="UTF-8"?>
<Relationships xmlns="http://schemas.openxmlformats.org/package/2006/relationships"><Relationship Id="rId1" Type="http://schemas.openxmlformats.org/officeDocument/2006/relationships/image" Target="../media/image82.png"/><Relationship Id="rId2" Type="http://schemas.openxmlformats.org/officeDocument/2006/relationships/hyperlink" Target="http://www.ti.com/lit/gpn/lm5066i"/><Relationship Id="rId3" Type="http://schemas.openxmlformats.org/officeDocument/2006/relationships/image" Target="../media/image83.png"/><Relationship Id="rId4" Type="http://schemas.openxmlformats.org/officeDocument/2006/relationships/image" Target="../media/image84.wmf"/><Relationship Id="rId5" Type="http://schemas.openxmlformats.org/officeDocument/2006/relationships/image" Target="../media/image85.png"/><Relationship Id="rId6" Type="http://schemas.openxmlformats.org/officeDocument/2006/relationships/image" Target="../media/image86.wmf"/><Relationship Id="rId7" Type="http://schemas.openxmlformats.org/officeDocument/2006/relationships/image" Target="../media/image87.wmf"/><Relationship Id="rId8" Type="http://schemas.openxmlformats.org/officeDocument/2006/relationships/chart" Target="../charts/chart17.xml"/><Relationship Id="rId9" Type="http://schemas.openxmlformats.org/officeDocument/2006/relationships/chart" Target="../charts/chart18.xml"/><Relationship Id="rId10" Type="http://schemas.openxmlformats.org/officeDocument/2006/relationships/chart" Target="../charts/chart19.xml"/><Relationship Id="rId11" Type="http://schemas.openxmlformats.org/officeDocument/2006/relationships/image" Target="../media/image88.png"/><Relationship Id="rId12" Type="http://schemas.openxmlformats.org/officeDocument/2006/relationships/image" Target="../media/image89.png"/><Relationship Id="rId13" Type="http://schemas.openxmlformats.org/officeDocument/2006/relationships/image" Target="../media/image90.png"/><Relationship Id="rId14" Type="http://schemas.openxmlformats.org/officeDocument/2006/relationships/image" Target="../media/image91.png"/><Relationship Id="rId15" Type="http://schemas.openxmlformats.org/officeDocument/2006/relationships/image" Target="../media/image92.png"/><Relationship Id="rId16" Type="http://schemas.openxmlformats.org/officeDocument/2006/relationships/image" Target="../media/image93.png"/><Relationship Id="rId17" Type="http://schemas.openxmlformats.org/officeDocument/2006/relationships/image" Target="../media/image94.png"/><Relationship Id="rId18" Type="http://schemas.openxmlformats.org/officeDocument/2006/relationships/image" Target="../media/image95.png"/><Relationship Id="rId19" Type="http://schemas.openxmlformats.org/officeDocument/2006/relationships/image" Target="../media/image96.png"/><Relationship Id="rId20" Type="http://schemas.openxmlformats.org/officeDocument/2006/relationships/image" Target="../media/image97.png"/>
</Relationships>
</file>

<file path=xl/drawings/_rels/drawing4.xml.rels><?xml version="1.0" encoding="UTF-8"?>
<Relationships xmlns="http://schemas.openxmlformats.org/package/2006/relationships"><Relationship Id="rId1" Type="http://schemas.openxmlformats.org/officeDocument/2006/relationships/chart" Target="../charts/chart2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96840</xdr:colOff>
      <xdr:row>1</xdr:row>
      <xdr:rowOff>132480</xdr:rowOff>
    </xdr:from>
    <xdr:to>
      <xdr:col>15</xdr:col>
      <xdr:colOff>677520</xdr:colOff>
      <xdr:row>5</xdr:row>
      <xdr:rowOff>65520</xdr:rowOff>
    </xdr:to>
    <xdr:sp>
      <xdr:nvSpPr>
        <xdr:cNvPr id="0" name="CustomShape 1"/>
        <xdr:cNvSpPr/>
      </xdr:nvSpPr>
      <xdr:spPr>
        <a:xfrm>
          <a:off x="96840" y="307440"/>
          <a:ext cx="9762480" cy="938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142920</xdr:colOff>
      <xdr:row>2</xdr:row>
      <xdr:rowOff>28440</xdr:rowOff>
    </xdr:from>
    <xdr:to>
      <xdr:col>4</xdr:col>
      <xdr:colOff>28440</xdr:colOff>
      <xdr:row>4</xdr:row>
      <xdr:rowOff>132840</xdr:rowOff>
    </xdr:to>
    <xdr:pic>
      <xdr:nvPicPr>
        <xdr:cNvPr id="1" name="Picture 3" descr=""/>
        <xdr:cNvPicPr/>
      </xdr:nvPicPr>
      <xdr:blipFill>
        <a:blip r:embed="rId1"/>
        <a:stretch/>
      </xdr:blipFill>
      <xdr:spPr>
        <a:xfrm>
          <a:off x="142920" y="371160"/>
          <a:ext cx="2333880" cy="77508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134280</xdr:colOff>
      <xdr:row>127</xdr:row>
      <xdr:rowOff>65880</xdr:rowOff>
    </xdr:from>
    <xdr:to>
      <xdr:col>4</xdr:col>
      <xdr:colOff>696960</xdr:colOff>
      <xdr:row>141</xdr:row>
      <xdr:rowOff>64080</xdr:rowOff>
    </xdr:to>
    <xdr:pic>
      <xdr:nvPicPr>
        <xdr:cNvPr id="2" name="Picture 11" descr=""/>
        <xdr:cNvPicPr/>
      </xdr:nvPicPr>
      <xdr:blipFill>
        <a:blip r:embed="rId1"/>
        <a:srcRect l="0" t="924" r="703" b="0"/>
        <a:stretch/>
      </xdr:blipFill>
      <xdr:spPr>
        <a:xfrm>
          <a:off x="173520" y="25405200"/>
          <a:ext cx="4921920" cy="2655720"/>
        </a:xfrm>
        <a:prstGeom prst="rect">
          <a:avLst/>
        </a:prstGeom>
        <a:ln>
          <a:noFill/>
        </a:ln>
      </xdr:spPr>
    </xdr:pic>
    <xdr:clientData/>
  </xdr:twoCellAnchor>
  <xdr:twoCellAnchor editAs="oneCell">
    <xdr:from>
      <xdr:col>1</xdr:col>
      <xdr:colOff>25560</xdr:colOff>
      <xdr:row>1</xdr:row>
      <xdr:rowOff>104760</xdr:rowOff>
    </xdr:from>
    <xdr:to>
      <xdr:col>7</xdr:col>
      <xdr:colOff>19080</xdr:colOff>
      <xdr:row>6</xdr:row>
      <xdr:rowOff>209160</xdr:rowOff>
    </xdr:to>
    <xdr:sp>
      <xdr:nvSpPr>
        <xdr:cNvPr id="3" name="CustomShape 1">
          <a:hlinkClick r:id="rId2"/>
        </xdr:cNvPr>
        <xdr:cNvSpPr/>
      </xdr:nvSpPr>
      <xdr:spPr>
        <a:xfrm>
          <a:off x="64800" y="876240"/>
          <a:ext cx="7323840" cy="973080"/>
        </a:xfrm>
        <a:prstGeom prst="rect">
          <a:avLst/>
        </a:prstGeom>
        <a:solidFill>
          <a:srgbClr val="ffffff"/>
        </a:solidFill>
        <a:ln w="9360">
          <a:solidFill>
            <a:srgbClr val="000000"/>
          </a:solidFill>
          <a:miter/>
        </a:ln>
      </xdr:spPr>
      <xdr:style>
        <a:lnRef idx="0"/>
        <a:fillRef idx="0"/>
        <a:effectRef idx="0"/>
        <a:fontRef idx="minor"/>
      </xdr:style>
      <xdr:txBody>
        <a:bodyPr lIns="36720" rIns="0" tIns="23040" bIns="0"/>
        <a:p>
          <a:pPr>
            <a:lnSpc>
              <a:spcPct val="100000"/>
            </a:lnSpc>
          </a:pPr>
          <a:r>
            <a:rPr b="1" lang="en-US" sz="1200" spc="-1" strike="noStrike" u="sng">
              <a:solidFill>
                <a:srgbClr val="ff0000"/>
              </a:solidFill>
              <a:uFillTx/>
              <a:latin typeface="Arial"/>
            </a:rPr>
            <a:t>Note</a:t>
          </a:r>
          <a:r>
            <a:rPr b="1" lang="en-US" sz="1200" spc="-1" strike="noStrike">
              <a:solidFill>
                <a:srgbClr val="ff0000"/>
              </a:solidFill>
              <a:latin typeface="Arial"/>
            </a:rPr>
            <a:t>:</a:t>
          </a:r>
          <a:r>
            <a:rPr b="0" lang="en-US" sz="1200" spc="-1" strike="noStrike">
              <a:solidFill>
                <a:srgbClr val="ff0000"/>
              </a:solidFill>
              <a:latin typeface="Arial"/>
            </a:rPr>
            <a:t> The components calculated in this worksheet are reasonable starting values for a design using the LM5066I PMBus Hot-swap Controller. As such, they are not optimized for any particular performance attribute. Tolerances of the components are not included in the calculations. See the Instructions tab for additional information.</a:t>
          </a:r>
          <a:endParaRPr b="0" lang="en-US" sz="1200" spc="-1" strike="noStrike">
            <a:latin typeface="Times New Roman"/>
          </a:endParaRPr>
        </a:p>
        <a:p>
          <a:pPr>
            <a:lnSpc>
              <a:spcPct val="100000"/>
            </a:lnSpc>
          </a:pPr>
          <a:r>
            <a:rPr b="1" lang="en-US" sz="1200" spc="-1" strike="noStrike">
              <a:solidFill>
                <a:srgbClr val="000000"/>
              </a:solidFill>
              <a:latin typeface="Arial"/>
            </a:rPr>
            <a:t>Consult the LM5066I datasheet for more detail.</a:t>
          </a:r>
          <a:endParaRPr b="0" lang="en-US" sz="1200" spc="-1" strike="noStrike">
            <a:latin typeface="Times New Roman"/>
          </a:endParaRPr>
        </a:p>
      </xdr:txBody>
    </xdr:sp>
    <xdr:clientData/>
  </xdr:twoCellAnchor>
  <xdr:twoCellAnchor editAs="oneCell">
    <xdr:from>
      <xdr:col>41</xdr:col>
      <xdr:colOff>0</xdr:colOff>
      <xdr:row>62</xdr:row>
      <xdr:rowOff>360</xdr:rowOff>
    </xdr:from>
    <xdr:to>
      <xdr:col>41</xdr:col>
      <xdr:colOff>360</xdr:colOff>
      <xdr:row>68</xdr:row>
      <xdr:rowOff>190800</xdr:rowOff>
    </xdr:to>
    <xdr:sp>
      <xdr:nvSpPr>
        <xdr:cNvPr id="4" name="CustomShape 1"/>
        <xdr:cNvSpPr/>
      </xdr:nvSpPr>
      <xdr:spPr>
        <a:xfrm>
          <a:off x="12418560" y="13004280"/>
          <a:ext cx="360" cy="133344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0" lang="en-US" sz="1000" spc="-1" strike="noStrike">
              <a:solidFill>
                <a:srgbClr val="000000"/>
              </a:solidFill>
              <a:latin typeface="Arial"/>
            </a:rPr>
            <a:t>Max R</a:t>
          </a:r>
          <a:r>
            <a:rPr b="0" lang="en-US" sz="1000" spc="-1" strike="noStrike" baseline="-25000">
              <a:solidFill>
                <a:srgbClr val="000000"/>
              </a:solidFill>
              <a:latin typeface="Arial"/>
            </a:rPr>
            <a:t>S</a:t>
          </a:r>
          <a:r>
            <a:rPr b="0" lang="en-US" sz="1000" spc="-1" strike="noStrike">
              <a:solidFill>
                <a:srgbClr val="000000"/>
              </a:solidFill>
              <a:latin typeface="Arial"/>
            </a:rPr>
            <a:t> = </a:t>
          </a:r>
          <a:r>
            <a:rPr b="0" lang="en-US" sz="1000" spc="-1" strike="noStrike" u="sng">
              <a:solidFill>
                <a:srgbClr val="000000"/>
              </a:solidFill>
              <a:uFillTx/>
              <a:latin typeface="Arial"/>
            </a:rPr>
            <a:t>            45 mV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(Max Load Current x 1.01)</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800" spc="-1" strike="noStrike">
              <a:solidFill>
                <a:srgbClr val="000000"/>
              </a:solidFill>
              <a:latin typeface="Arial"/>
            </a:rPr>
            <a:t>The 1.01 factor provides 1% margin from the max. normal load current.</a:t>
          </a:r>
          <a:endParaRPr b="0" lang="en-US" sz="800" spc="-1" strike="noStrike">
            <a:latin typeface="Times New Roman"/>
          </a:endParaRPr>
        </a:p>
      </xdr:txBody>
    </xdr:sp>
    <xdr:clientData/>
  </xdr:twoCellAnchor>
  <xdr:twoCellAnchor editAs="oneCell">
    <xdr:from>
      <xdr:col>1</xdr:col>
      <xdr:colOff>37080</xdr:colOff>
      <xdr:row>0</xdr:row>
      <xdr:rowOff>171360</xdr:rowOff>
    </xdr:from>
    <xdr:to>
      <xdr:col>1</xdr:col>
      <xdr:colOff>1666800</xdr:colOff>
      <xdr:row>0</xdr:row>
      <xdr:rowOff>609120</xdr:rowOff>
    </xdr:to>
    <xdr:pic>
      <xdr:nvPicPr>
        <xdr:cNvPr id="5" name="Picture 9" descr=""/>
        <xdr:cNvPicPr/>
      </xdr:nvPicPr>
      <xdr:blipFill>
        <a:blip r:embed="rId3"/>
        <a:srcRect l="0" t="0" r="26504" b="0"/>
        <a:stretch/>
      </xdr:blipFill>
      <xdr:spPr>
        <a:xfrm>
          <a:off x="76320" y="171360"/>
          <a:ext cx="1629720" cy="437760"/>
        </a:xfrm>
        <a:prstGeom prst="rect">
          <a:avLst/>
        </a:prstGeom>
        <a:ln w="9360">
          <a:noFill/>
        </a:ln>
      </xdr:spPr>
    </xdr:pic>
    <xdr:clientData/>
  </xdr:twoCellAnchor>
  <xdr:twoCellAnchor editAs="oneCell">
    <xdr:from>
      <xdr:col>5</xdr:col>
      <xdr:colOff>95400</xdr:colOff>
      <xdr:row>164</xdr:row>
      <xdr:rowOff>95400</xdr:rowOff>
    </xdr:from>
    <xdr:to>
      <xdr:col>10</xdr:col>
      <xdr:colOff>624240</xdr:colOff>
      <xdr:row>164</xdr:row>
      <xdr:rowOff>97200</xdr:rowOff>
    </xdr:to>
    <xdr:pic>
      <xdr:nvPicPr>
        <xdr:cNvPr id="6" name="Picture 216" descr=""/>
        <xdr:cNvPicPr/>
      </xdr:nvPicPr>
      <xdr:blipFill>
        <a:blip r:embed="rId4"/>
        <a:stretch/>
      </xdr:blipFill>
      <xdr:spPr>
        <a:xfrm>
          <a:off x="5960160" y="32222520"/>
          <a:ext cx="4222080" cy="1800"/>
        </a:xfrm>
        <a:prstGeom prst="rect">
          <a:avLst/>
        </a:prstGeom>
        <a:ln>
          <a:noFill/>
        </a:ln>
      </xdr:spPr>
    </xdr:pic>
    <xdr:clientData/>
  </xdr:twoCellAnchor>
  <xdr:twoCellAnchor editAs="oneCell">
    <xdr:from>
      <xdr:col>38</xdr:col>
      <xdr:colOff>714240</xdr:colOff>
      <xdr:row>0</xdr:row>
      <xdr:rowOff>114840</xdr:rowOff>
    </xdr:from>
    <xdr:to>
      <xdr:col>42</xdr:col>
      <xdr:colOff>555120</xdr:colOff>
      <xdr:row>0</xdr:row>
      <xdr:rowOff>516600</xdr:rowOff>
    </xdr:to>
    <xdr:pic>
      <xdr:nvPicPr>
        <xdr:cNvPr id="7" name="Picture 84" descr=""/>
        <xdr:cNvPicPr/>
      </xdr:nvPicPr>
      <xdr:blipFill>
        <a:blip r:embed="rId5"/>
        <a:stretch/>
      </xdr:blipFill>
      <xdr:spPr>
        <a:xfrm>
          <a:off x="12302280" y="114840"/>
          <a:ext cx="1533600" cy="401760"/>
        </a:xfrm>
        <a:prstGeom prst="rect">
          <a:avLst/>
        </a:prstGeom>
        <a:ln>
          <a:noFill/>
        </a:ln>
      </xdr:spPr>
    </xdr:pic>
    <xdr:clientData/>
  </xdr:twoCellAnchor>
  <xdr:twoCellAnchor editAs="oneCell">
    <xdr:from>
      <xdr:col>8</xdr:col>
      <xdr:colOff>278280</xdr:colOff>
      <xdr:row>106</xdr:row>
      <xdr:rowOff>66240</xdr:rowOff>
    </xdr:from>
    <xdr:to>
      <xdr:col>12</xdr:col>
      <xdr:colOff>325440</xdr:colOff>
      <xdr:row>107</xdr:row>
      <xdr:rowOff>74160</xdr:rowOff>
    </xdr:to>
    <xdr:pic>
      <xdr:nvPicPr>
        <xdr:cNvPr id="8" name="Picture 229" descr=""/>
        <xdr:cNvPicPr/>
      </xdr:nvPicPr>
      <xdr:blipFill>
        <a:blip r:embed="rId6"/>
        <a:srcRect l="0" t="89138" r="0" b="0"/>
        <a:stretch/>
      </xdr:blipFill>
      <xdr:spPr>
        <a:xfrm>
          <a:off x="8322120" y="21357720"/>
          <a:ext cx="2901600" cy="198360"/>
        </a:xfrm>
        <a:prstGeom prst="rect">
          <a:avLst/>
        </a:prstGeom>
        <a:ln>
          <a:noFill/>
        </a:ln>
      </xdr:spPr>
    </xdr:pic>
    <xdr:clientData/>
  </xdr:twoCellAnchor>
  <xdr:twoCellAnchor editAs="oneCell">
    <xdr:from>
      <xdr:col>8</xdr:col>
      <xdr:colOff>354600</xdr:colOff>
      <xdr:row>119</xdr:row>
      <xdr:rowOff>0</xdr:rowOff>
    </xdr:from>
    <xdr:to>
      <xdr:col>12</xdr:col>
      <xdr:colOff>397440</xdr:colOff>
      <xdr:row>120</xdr:row>
      <xdr:rowOff>20880</xdr:rowOff>
    </xdr:to>
    <xdr:pic>
      <xdr:nvPicPr>
        <xdr:cNvPr id="9" name="Picture 230" descr=""/>
        <xdr:cNvPicPr/>
      </xdr:nvPicPr>
      <xdr:blipFill>
        <a:blip r:embed="rId7"/>
        <a:srcRect l="0" t="88612" r="0" b="0"/>
        <a:stretch/>
      </xdr:blipFill>
      <xdr:spPr>
        <a:xfrm>
          <a:off x="8398440" y="23767920"/>
          <a:ext cx="2897280" cy="211320"/>
        </a:xfrm>
        <a:prstGeom prst="rect">
          <a:avLst/>
        </a:prstGeom>
        <a:ln>
          <a:noFill/>
        </a:ln>
      </xdr:spPr>
    </xdr:pic>
    <xdr:clientData/>
  </xdr:twoCellAnchor>
  <xdr:twoCellAnchor editAs="oneCell">
    <xdr:from>
      <xdr:col>8</xdr:col>
      <xdr:colOff>493560</xdr:colOff>
      <xdr:row>52</xdr:row>
      <xdr:rowOff>169200</xdr:rowOff>
    </xdr:from>
    <xdr:to>
      <xdr:col>41</xdr:col>
      <xdr:colOff>152280</xdr:colOff>
      <xdr:row>67</xdr:row>
      <xdr:rowOff>102600</xdr:rowOff>
    </xdr:to>
    <xdr:graphicFrame>
      <xdr:nvGraphicFramePr>
        <xdr:cNvPr id="10" name="Chart 100"/>
        <xdr:cNvGraphicFramePr/>
      </xdr:nvGraphicFramePr>
      <xdr:xfrm>
        <a:off x="8537400" y="11158920"/>
        <a:ext cx="4033440" cy="29001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53640</xdr:colOff>
      <xdr:row>44</xdr:row>
      <xdr:rowOff>175320</xdr:rowOff>
    </xdr:from>
    <xdr:to>
      <xdr:col>8</xdr:col>
      <xdr:colOff>237960</xdr:colOff>
      <xdr:row>46</xdr:row>
      <xdr:rowOff>59040</xdr:rowOff>
    </xdr:to>
    <xdr:sp>
      <xdr:nvSpPr>
        <xdr:cNvPr id="11" name="CustomShape 1"/>
        <xdr:cNvSpPr/>
      </xdr:nvSpPr>
      <xdr:spPr>
        <a:xfrm>
          <a:off x="8097480" y="9641160"/>
          <a:ext cx="184320" cy="264600"/>
        </a:xfrm>
        <a:prstGeom prst="rect">
          <a:avLst/>
        </a:prstGeom>
        <a:noFill/>
        <a:ln>
          <a:noFill/>
        </a:ln>
      </xdr:spPr>
      <xdr:style>
        <a:lnRef idx="0"/>
        <a:fillRef idx="0"/>
        <a:effectRef idx="0"/>
        <a:fontRef idx="minor"/>
      </xdr:style>
    </xdr:sp>
    <xdr:clientData/>
  </xdr:twoCellAnchor>
  <xdr:twoCellAnchor editAs="oneCell">
    <xdr:from>
      <xdr:col>8</xdr:col>
      <xdr:colOff>404280</xdr:colOff>
      <xdr:row>69</xdr:row>
      <xdr:rowOff>18720</xdr:rowOff>
    </xdr:from>
    <xdr:to>
      <xdr:col>41</xdr:col>
      <xdr:colOff>241920</xdr:colOff>
      <xdr:row>83</xdr:row>
      <xdr:rowOff>1080</xdr:rowOff>
    </xdr:to>
    <xdr:graphicFrame>
      <xdr:nvGraphicFramePr>
        <xdr:cNvPr id="12" name="Chart 15"/>
        <xdr:cNvGraphicFramePr/>
      </xdr:nvGraphicFramePr>
      <xdr:xfrm>
        <a:off x="8448120" y="14356080"/>
        <a:ext cx="4212360" cy="2461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434880</xdr:colOff>
      <xdr:row>58</xdr:row>
      <xdr:rowOff>91440</xdr:rowOff>
    </xdr:from>
    <xdr:to>
      <xdr:col>11</xdr:col>
      <xdr:colOff>619200</xdr:colOff>
      <xdr:row>59</xdr:row>
      <xdr:rowOff>155880</xdr:rowOff>
    </xdr:to>
    <xdr:sp>
      <xdr:nvSpPr>
        <xdr:cNvPr id="13" name="CustomShape 1"/>
        <xdr:cNvSpPr/>
      </xdr:nvSpPr>
      <xdr:spPr>
        <a:xfrm>
          <a:off x="10713960" y="12252960"/>
          <a:ext cx="184320" cy="264240"/>
        </a:xfrm>
        <a:prstGeom prst="rect">
          <a:avLst/>
        </a:prstGeom>
        <a:noFill/>
        <a:ln>
          <a:noFill/>
        </a:ln>
      </xdr:spPr>
      <xdr:style>
        <a:lnRef idx="0"/>
        <a:fillRef idx="0"/>
        <a:effectRef idx="0"/>
        <a:fontRef idx="minor"/>
      </xdr:style>
    </xdr:sp>
    <xdr:clientData/>
  </xdr:twoCellAnchor>
  <xdr:twoCellAnchor editAs="oneCell">
    <xdr:from>
      <xdr:col>8</xdr:col>
      <xdr:colOff>132840</xdr:colOff>
      <xdr:row>83</xdr:row>
      <xdr:rowOff>124560</xdr:rowOff>
    </xdr:from>
    <xdr:to>
      <xdr:col>41</xdr:col>
      <xdr:colOff>65520</xdr:colOff>
      <xdr:row>94</xdr:row>
      <xdr:rowOff>59400</xdr:rowOff>
    </xdr:to>
    <xdr:graphicFrame>
      <xdr:nvGraphicFramePr>
        <xdr:cNvPr id="14" name="Chart 17"/>
        <xdr:cNvGraphicFramePr/>
      </xdr:nvGraphicFramePr>
      <xdr:xfrm>
        <a:off x="8176680" y="16941240"/>
        <a:ext cx="4307400" cy="2123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663480</xdr:colOff>
      <xdr:row>71</xdr:row>
      <xdr:rowOff>30600</xdr:rowOff>
    </xdr:from>
    <xdr:to>
      <xdr:col>38</xdr:col>
      <xdr:colOff>157680</xdr:colOff>
      <xdr:row>72</xdr:row>
      <xdr:rowOff>127080</xdr:rowOff>
    </xdr:to>
    <xdr:sp>
      <xdr:nvSpPr>
        <xdr:cNvPr id="15" name="CustomShape 1"/>
        <xdr:cNvSpPr/>
      </xdr:nvSpPr>
      <xdr:spPr>
        <a:xfrm>
          <a:off x="11561760" y="14711040"/>
          <a:ext cx="183960" cy="264240"/>
        </a:xfrm>
        <a:prstGeom prst="rect">
          <a:avLst/>
        </a:prstGeom>
        <a:noFill/>
        <a:ln>
          <a:noFill/>
        </a:ln>
      </xdr:spPr>
      <xdr:style>
        <a:lnRef idx="0"/>
        <a:fillRef idx="0"/>
        <a:effectRef idx="0"/>
        <a:fontRef idx="minor"/>
      </xdr:style>
    </xdr:sp>
    <xdr:clientData/>
  </xdr:twoCellAnchor>
  <xdr:twoCellAnchor editAs="oneCell">
    <xdr:from>
      <xdr:col>8</xdr:col>
      <xdr:colOff>537120</xdr:colOff>
      <xdr:row>3</xdr:row>
      <xdr:rowOff>63360</xdr:rowOff>
    </xdr:from>
    <xdr:to>
      <xdr:col>11</xdr:col>
      <xdr:colOff>374760</xdr:colOff>
      <xdr:row>9</xdr:row>
      <xdr:rowOff>168840</xdr:rowOff>
    </xdr:to>
    <xdr:pic>
      <xdr:nvPicPr>
        <xdr:cNvPr id="16" name="Picture 5" descr=""/>
        <xdr:cNvPicPr/>
      </xdr:nvPicPr>
      <xdr:blipFill>
        <a:blip r:embed="rId11"/>
        <a:stretch/>
      </xdr:blipFill>
      <xdr:spPr>
        <a:xfrm>
          <a:off x="8580960" y="1200600"/>
          <a:ext cx="2072880" cy="1176120"/>
        </a:xfrm>
        <a:prstGeom prst="rect">
          <a:avLst/>
        </a:prstGeom>
        <a:ln>
          <a:noFill/>
        </a:ln>
      </xdr:spPr>
    </xdr:pic>
    <xdr:clientData/>
  </xdr:twoCellAnchor>
  <xdr:twoCellAnchor editAs="absolute">
    <xdr:from>
      <xdr:col>7</xdr:col>
      <xdr:colOff>489600</xdr:colOff>
      <xdr:row>27</xdr:row>
      <xdr:rowOff>96480</xdr:rowOff>
    </xdr:from>
    <xdr:to>
      <xdr:col>11</xdr:col>
      <xdr:colOff>546120</xdr:colOff>
      <xdr:row>40</xdr:row>
      <xdr:rowOff>168840</xdr:rowOff>
    </xdr:to>
    <xdr:pic>
      <xdr:nvPicPr>
        <xdr:cNvPr id="17" name="Picture 20" descr=""/>
        <xdr:cNvPicPr/>
      </xdr:nvPicPr>
      <xdr:blipFill>
        <a:blip r:embed="rId12"/>
        <a:stretch/>
      </xdr:blipFill>
      <xdr:spPr>
        <a:xfrm>
          <a:off x="7859160" y="6323760"/>
          <a:ext cx="2966040" cy="2548800"/>
        </a:xfrm>
        <a:prstGeom prst="rect">
          <a:avLst/>
        </a:prstGeom>
        <a:ln>
          <a:noFill/>
        </a:ln>
      </xdr:spPr>
    </xdr:pic>
    <xdr:clientData/>
  </xdr:twoCellAnchor>
  <xdr:twoCellAnchor editAs="absolute">
    <xdr:from>
      <xdr:col>9</xdr:col>
      <xdr:colOff>7200</xdr:colOff>
      <xdr:row>31</xdr:row>
      <xdr:rowOff>132840</xdr:rowOff>
    </xdr:from>
    <xdr:to>
      <xdr:col>10</xdr:col>
      <xdr:colOff>11160</xdr:colOff>
      <xdr:row>32</xdr:row>
      <xdr:rowOff>188640</xdr:rowOff>
    </xdr:to>
    <xdr:sp>
      <xdr:nvSpPr>
        <xdr:cNvPr id="18" name="CustomShape 1"/>
        <xdr:cNvSpPr/>
      </xdr:nvSpPr>
      <xdr:spPr>
        <a:xfrm>
          <a:off x="8952840" y="7122240"/>
          <a:ext cx="616320" cy="246240"/>
        </a:xfrm>
        <a:prstGeom prst="rect">
          <a:avLst/>
        </a:prstGeom>
        <a:solidFill>
          <a:srgbClr val="ffffff"/>
        </a:solidFill>
        <a:ln w="9360">
          <a:noFill/>
        </a:ln>
      </xdr:spPr>
      <xdr:style>
        <a:lnRef idx="0"/>
        <a:fillRef idx="0"/>
        <a:effectRef idx="0"/>
        <a:fontRef idx="minor"/>
      </xdr:style>
      <xdr:txBody>
        <a:bodyPr lIns="90000" rIns="90000" tIns="45000" bIns="45000"/>
        <a:p>
          <a:pPr>
            <a:lnSpc>
              <a:spcPct val="100000"/>
            </a:lnSpc>
          </a:pPr>
          <a:r>
            <a:rPr b="0" lang="en-US" sz="1200" spc="-1" strike="noStrike">
              <a:solidFill>
                <a:srgbClr val="000000"/>
              </a:solidFill>
              <a:latin typeface="Arial"/>
            </a:rPr>
            <a:t>R</a:t>
          </a:r>
          <a:r>
            <a:rPr b="0" lang="en-US" sz="1200" spc="-1" strike="noStrike" baseline="-25000">
              <a:solidFill>
                <a:srgbClr val="000000"/>
              </a:solidFill>
              <a:latin typeface="Arial"/>
            </a:rPr>
            <a:t>CL1</a:t>
          </a:r>
          <a:endParaRPr b="0" lang="en-US" sz="1200" spc="-1" strike="noStrike">
            <a:latin typeface="Times New Roman"/>
          </a:endParaRPr>
        </a:p>
      </xdr:txBody>
    </xdr:sp>
    <xdr:clientData/>
  </xdr:twoCellAnchor>
  <xdr:twoCellAnchor editAs="absolute">
    <xdr:from>
      <xdr:col>10</xdr:col>
      <xdr:colOff>262800</xdr:colOff>
      <xdr:row>31</xdr:row>
      <xdr:rowOff>16200</xdr:rowOff>
    </xdr:from>
    <xdr:to>
      <xdr:col>11</xdr:col>
      <xdr:colOff>158040</xdr:colOff>
      <xdr:row>32</xdr:row>
      <xdr:rowOff>72000</xdr:rowOff>
    </xdr:to>
    <xdr:sp>
      <xdr:nvSpPr>
        <xdr:cNvPr id="19" name="CustomShape 1"/>
        <xdr:cNvSpPr/>
      </xdr:nvSpPr>
      <xdr:spPr>
        <a:xfrm>
          <a:off x="9820800" y="7005600"/>
          <a:ext cx="616320" cy="246240"/>
        </a:xfrm>
        <a:prstGeom prst="rect">
          <a:avLst/>
        </a:prstGeom>
        <a:solidFill>
          <a:srgbClr val="ffffff"/>
        </a:solidFill>
        <a:ln w="9360">
          <a:noFill/>
        </a:ln>
      </xdr:spPr>
      <xdr:style>
        <a:lnRef idx="0"/>
        <a:fillRef idx="0"/>
        <a:effectRef idx="0"/>
        <a:fontRef idx="minor"/>
      </xdr:style>
      <xdr:txBody>
        <a:bodyPr lIns="90000" rIns="90000" tIns="45000" bIns="45000"/>
        <a:p>
          <a:pPr>
            <a:lnSpc>
              <a:spcPct val="100000"/>
            </a:lnSpc>
          </a:pPr>
          <a:r>
            <a:rPr b="0" lang="en-US" sz="1200" spc="-1" strike="noStrike">
              <a:solidFill>
                <a:srgbClr val="000000"/>
              </a:solidFill>
              <a:latin typeface="Arial"/>
            </a:rPr>
            <a:t>R</a:t>
          </a:r>
          <a:r>
            <a:rPr b="0" lang="en-US" sz="1200" spc="-1" strike="noStrike" baseline="-25000">
              <a:solidFill>
                <a:srgbClr val="000000"/>
              </a:solidFill>
              <a:latin typeface="Arial"/>
            </a:rPr>
            <a:t>CL2</a:t>
          </a:r>
          <a:endParaRPr b="0" lang="en-US" sz="1200" spc="-1" strike="noStrike">
            <a:latin typeface="Times New Roman"/>
          </a:endParaRPr>
        </a:p>
      </xdr:txBody>
    </xdr:sp>
    <xdr:clientData/>
  </xdr:twoCellAnchor>
  <xdr:twoCellAnchor editAs="oneCell">
    <xdr:from>
      <xdr:col>8</xdr:col>
      <xdr:colOff>285840</xdr:colOff>
      <xdr:row>96</xdr:row>
      <xdr:rowOff>30240</xdr:rowOff>
    </xdr:from>
    <xdr:to>
      <xdr:col>12</xdr:col>
      <xdr:colOff>621000</xdr:colOff>
      <xdr:row>106</xdr:row>
      <xdr:rowOff>120960</xdr:rowOff>
    </xdr:to>
    <xdr:pic>
      <xdr:nvPicPr>
        <xdr:cNvPr id="20" name="Picture 6" descr=""/>
        <xdr:cNvPicPr/>
      </xdr:nvPicPr>
      <xdr:blipFill>
        <a:blip r:embed="rId13"/>
        <a:stretch/>
      </xdr:blipFill>
      <xdr:spPr>
        <a:xfrm>
          <a:off x="8329680" y="19416600"/>
          <a:ext cx="3189600" cy="1995840"/>
        </a:xfrm>
        <a:prstGeom prst="rect">
          <a:avLst/>
        </a:prstGeom>
        <a:ln>
          <a:noFill/>
        </a:ln>
      </xdr:spPr>
    </xdr:pic>
    <xdr:clientData/>
  </xdr:twoCellAnchor>
  <xdr:twoCellAnchor editAs="oneCell">
    <xdr:from>
      <xdr:col>8</xdr:col>
      <xdr:colOff>362160</xdr:colOff>
      <xdr:row>109</xdr:row>
      <xdr:rowOff>106920</xdr:rowOff>
    </xdr:from>
    <xdr:to>
      <xdr:col>38</xdr:col>
      <xdr:colOff>15840</xdr:colOff>
      <xdr:row>118</xdr:row>
      <xdr:rowOff>175680</xdr:rowOff>
    </xdr:to>
    <xdr:pic>
      <xdr:nvPicPr>
        <xdr:cNvPr id="21" name="Picture 8" descr=""/>
        <xdr:cNvPicPr/>
      </xdr:nvPicPr>
      <xdr:blipFill>
        <a:blip r:embed="rId14"/>
        <a:stretch/>
      </xdr:blipFill>
      <xdr:spPr>
        <a:xfrm>
          <a:off x="8406000" y="21969720"/>
          <a:ext cx="3197880" cy="1783440"/>
        </a:xfrm>
        <a:prstGeom prst="rect">
          <a:avLst/>
        </a:prstGeom>
        <a:ln>
          <a:noFill/>
        </a:ln>
      </xdr:spPr>
    </xdr:pic>
    <xdr:clientData/>
  </xdr:twoCellAnchor>
  <xdr:twoCellAnchor editAs="oneCell">
    <xdr:from>
      <xdr:col>1</xdr:col>
      <xdr:colOff>45000</xdr:colOff>
      <xdr:row>14</xdr:row>
      <xdr:rowOff>15480</xdr:rowOff>
    </xdr:from>
    <xdr:to>
      <xdr:col>1</xdr:col>
      <xdr:colOff>1744920</xdr:colOff>
      <xdr:row>22</xdr:row>
      <xdr:rowOff>13320</xdr:rowOff>
    </xdr:to>
    <xdr:pic>
      <xdr:nvPicPr>
        <xdr:cNvPr id="22" name="Picture 23" descr=""/>
        <xdr:cNvPicPr/>
      </xdr:nvPicPr>
      <xdr:blipFill>
        <a:blip r:embed="rId15"/>
        <a:stretch/>
      </xdr:blipFill>
      <xdr:spPr>
        <a:xfrm>
          <a:off x="84240" y="3390840"/>
          <a:ext cx="1699920" cy="1783080"/>
        </a:xfrm>
        <a:prstGeom prst="rect">
          <a:avLst/>
        </a:prstGeom>
        <a:ln>
          <a:noFill/>
        </a:ln>
      </xdr:spPr>
    </xdr:pic>
    <xdr:clientData/>
  </xdr:twoCellAnchor>
  <xdr:twoCellAnchor editAs="oneCell">
    <xdr:from>
      <xdr:col>1</xdr:col>
      <xdr:colOff>29880</xdr:colOff>
      <xdr:row>27</xdr:row>
      <xdr:rowOff>29880</xdr:rowOff>
    </xdr:from>
    <xdr:to>
      <xdr:col>1</xdr:col>
      <xdr:colOff>1775880</xdr:colOff>
      <xdr:row>32</xdr:row>
      <xdr:rowOff>19440</xdr:rowOff>
    </xdr:to>
    <xdr:pic>
      <xdr:nvPicPr>
        <xdr:cNvPr id="23" name="Picture 24" descr=""/>
        <xdr:cNvPicPr/>
      </xdr:nvPicPr>
      <xdr:blipFill>
        <a:blip r:embed="rId16"/>
        <a:stretch/>
      </xdr:blipFill>
      <xdr:spPr>
        <a:xfrm>
          <a:off x="69120" y="6257160"/>
          <a:ext cx="1746000" cy="942120"/>
        </a:xfrm>
        <a:prstGeom prst="rect">
          <a:avLst/>
        </a:prstGeom>
        <a:ln>
          <a:noFill/>
        </a:ln>
      </xdr:spPr>
    </xdr:pic>
    <xdr:clientData/>
  </xdr:twoCellAnchor>
  <xdr:twoCellAnchor editAs="oneCell">
    <xdr:from>
      <xdr:col>1</xdr:col>
      <xdr:colOff>37440</xdr:colOff>
      <xdr:row>38</xdr:row>
      <xdr:rowOff>22320</xdr:rowOff>
    </xdr:from>
    <xdr:to>
      <xdr:col>1</xdr:col>
      <xdr:colOff>1842480</xdr:colOff>
      <xdr:row>44</xdr:row>
      <xdr:rowOff>21960</xdr:rowOff>
    </xdr:to>
    <xdr:pic>
      <xdr:nvPicPr>
        <xdr:cNvPr id="24" name="Picture 25" descr=""/>
        <xdr:cNvPicPr/>
      </xdr:nvPicPr>
      <xdr:blipFill>
        <a:blip r:embed="rId17"/>
        <a:stretch/>
      </xdr:blipFill>
      <xdr:spPr>
        <a:xfrm>
          <a:off x="76680" y="8345160"/>
          <a:ext cx="1805040" cy="1142640"/>
        </a:xfrm>
        <a:prstGeom prst="rect">
          <a:avLst/>
        </a:prstGeom>
        <a:ln>
          <a:noFill/>
        </a:ln>
      </xdr:spPr>
    </xdr:pic>
    <xdr:clientData/>
  </xdr:twoCellAnchor>
  <xdr:twoCellAnchor editAs="oneCell">
    <xdr:from>
      <xdr:col>1</xdr:col>
      <xdr:colOff>52200</xdr:colOff>
      <xdr:row>53</xdr:row>
      <xdr:rowOff>37440</xdr:rowOff>
    </xdr:from>
    <xdr:to>
      <xdr:col>1</xdr:col>
      <xdr:colOff>1909080</xdr:colOff>
      <xdr:row>58</xdr:row>
      <xdr:rowOff>81720</xdr:rowOff>
    </xdr:to>
    <xdr:pic>
      <xdr:nvPicPr>
        <xdr:cNvPr id="25" name="Picture 26" descr=""/>
        <xdr:cNvPicPr/>
      </xdr:nvPicPr>
      <xdr:blipFill>
        <a:blip r:embed="rId18"/>
        <a:stretch/>
      </xdr:blipFill>
      <xdr:spPr>
        <a:xfrm>
          <a:off x="91440" y="11202480"/>
          <a:ext cx="1856880" cy="1040760"/>
        </a:xfrm>
        <a:prstGeom prst="rect">
          <a:avLst/>
        </a:prstGeom>
        <a:ln>
          <a:noFill/>
        </a:ln>
      </xdr:spPr>
    </xdr:pic>
    <xdr:clientData/>
  </xdr:twoCellAnchor>
  <xdr:twoCellAnchor editAs="oneCell">
    <xdr:from>
      <xdr:col>1</xdr:col>
      <xdr:colOff>37440</xdr:colOff>
      <xdr:row>70</xdr:row>
      <xdr:rowOff>15480</xdr:rowOff>
    </xdr:from>
    <xdr:to>
      <xdr:col>1</xdr:col>
      <xdr:colOff>1996560</xdr:colOff>
      <xdr:row>77</xdr:row>
      <xdr:rowOff>190440</xdr:rowOff>
    </xdr:to>
    <xdr:pic>
      <xdr:nvPicPr>
        <xdr:cNvPr id="26" name="Picture 27" descr=""/>
        <xdr:cNvPicPr/>
      </xdr:nvPicPr>
      <xdr:blipFill>
        <a:blip r:embed="rId19"/>
        <a:stretch/>
      </xdr:blipFill>
      <xdr:spPr>
        <a:xfrm>
          <a:off x="76680" y="14528160"/>
          <a:ext cx="1959120" cy="1335960"/>
        </a:xfrm>
        <a:prstGeom prst="rect">
          <a:avLst/>
        </a:prstGeom>
        <a:ln>
          <a:noFill/>
        </a:ln>
      </xdr:spPr>
    </xdr:pic>
    <xdr:clientData/>
  </xdr:twoCellAnchor>
  <xdr:twoCellAnchor editAs="oneCell">
    <xdr:from>
      <xdr:col>1</xdr:col>
      <xdr:colOff>59760</xdr:colOff>
      <xdr:row>96</xdr:row>
      <xdr:rowOff>22680</xdr:rowOff>
    </xdr:from>
    <xdr:to>
      <xdr:col>1</xdr:col>
      <xdr:colOff>2068200</xdr:colOff>
      <xdr:row>101</xdr:row>
      <xdr:rowOff>111600</xdr:rowOff>
    </xdr:to>
    <xdr:pic>
      <xdr:nvPicPr>
        <xdr:cNvPr id="27" name="Picture 28" descr=""/>
        <xdr:cNvPicPr/>
      </xdr:nvPicPr>
      <xdr:blipFill>
        <a:blip r:embed="rId20"/>
        <a:stretch/>
      </xdr:blipFill>
      <xdr:spPr>
        <a:xfrm>
          <a:off x="99000" y="19409040"/>
          <a:ext cx="2008440" cy="104148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657360</xdr:colOff>
      <xdr:row>115</xdr:row>
      <xdr:rowOff>85680</xdr:rowOff>
    </xdr:from>
    <xdr:to>
      <xdr:col>16</xdr:col>
      <xdr:colOff>247320</xdr:colOff>
      <xdr:row>141</xdr:row>
      <xdr:rowOff>28080</xdr:rowOff>
    </xdr:to>
    <xdr:sp>
      <xdr:nvSpPr>
        <xdr:cNvPr id="28" name="CustomShape 1"/>
        <xdr:cNvSpPr/>
      </xdr:nvSpPr>
      <xdr:spPr>
        <a:xfrm>
          <a:off x="7098120" y="19402200"/>
          <a:ext cx="4093200" cy="430092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1" lang="en-US" sz="1000" spc="-1" strike="noStrike">
              <a:solidFill>
                <a:srgbClr val="000000"/>
              </a:solidFill>
              <a:latin typeface="Arial"/>
            </a:rPr>
            <a:t>Option A</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R1 = </a:t>
          </a:r>
          <a:r>
            <a:rPr b="0" lang="en-US" sz="1000" spc="-1" strike="noStrike" u="sng">
              <a:solidFill>
                <a:srgbClr val="000000"/>
              </a:solidFill>
              <a:uFillTx/>
              <a:latin typeface="Arial"/>
            </a:rPr>
            <a:t> UVLO</a:t>
          </a:r>
          <a:r>
            <a:rPr b="0" lang="en-US" sz="800" spc="-1" strike="noStrike" u="sng">
              <a:solidFill>
                <a:srgbClr val="000000"/>
              </a:solidFill>
              <a:uFillTx/>
              <a:latin typeface="Arial"/>
            </a:rPr>
            <a:t>(upper)</a:t>
          </a:r>
          <a:r>
            <a:rPr b="0" lang="en-US" sz="1000" spc="-1" strike="noStrike" u="sng">
              <a:solidFill>
                <a:srgbClr val="000000"/>
              </a:solidFill>
              <a:uFillTx/>
              <a:latin typeface="Arial"/>
            </a:rPr>
            <a:t> -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a:t>
          </a:r>
          <a:r>
            <a:rPr b="0" lang="en-US" sz="1000" spc="-1" strike="noStrike">
              <a:solidFill>
                <a:srgbClr val="000000"/>
              </a:solidFill>
              <a:latin typeface="Arial"/>
            </a:rPr>
            <a:t>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20 uA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R3 = </a:t>
          </a:r>
          <a:r>
            <a:rPr b="0" lang="en-US" sz="1000" spc="-1" strike="noStrike" u="sng">
              <a:solidFill>
                <a:srgbClr val="000000"/>
              </a:solidFill>
              <a:uFillTx/>
              <a:latin typeface="Arial"/>
            </a:rPr>
            <a:t>         R1 x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x 2.46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OVLO</a:t>
          </a:r>
          <a:r>
            <a:rPr b="0" lang="en-US" sz="800" spc="-1" strike="noStrike">
              <a:solidFill>
                <a:srgbClr val="000000"/>
              </a:solidFill>
              <a:latin typeface="Arial"/>
            </a:rPr>
            <a:t>(upper)</a:t>
          </a:r>
          <a:r>
            <a:rPr b="0" lang="en-US" sz="1000" spc="-1" strike="noStrike">
              <a:solidFill>
                <a:srgbClr val="000000"/>
              </a:solidFill>
              <a:latin typeface="Arial"/>
            </a:rPr>
            <a:t> x (UVLO</a:t>
          </a:r>
          <a:r>
            <a:rPr b="0" lang="en-US" sz="800" spc="-1" strike="noStrike">
              <a:solidFill>
                <a:srgbClr val="000000"/>
              </a:solidFill>
              <a:latin typeface="Arial"/>
            </a:rPr>
            <a:t>(lower)</a:t>
          </a:r>
          <a:r>
            <a:rPr b="0" lang="en-US" sz="1000" spc="-1" strike="noStrike">
              <a:solidFill>
                <a:srgbClr val="000000"/>
              </a:solidFill>
              <a:latin typeface="Arial"/>
            </a:rPr>
            <a:t> - 2.48V)</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R2 =  </a:t>
          </a:r>
          <a:r>
            <a:rPr b="0" lang="en-US" sz="1000" spc="-1" strike="noStrike" u="sng">
              <a:solidFill>
                <a:srgbClr val="000000"/>
              </a:solidFill>
              <a:uFillTx/>
              <a:latin typeface="Arial"/>
            </a:rPr>
            <a:t>       2.48V  x  R1      </a:t>
          </a:r>
          <a:r>
            <a:rPr b="0" lang="en-US" sz="1000" spc="-1" strike="noStrike">
              <a:solidFill>
                <a:srgbClr val="000000"/>
              </a:solidFill>
              <a:latin typeface="Arial"/>
            </a:rPr>
            <a:t>    -  R3</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UVLO</a:t>
          </a:r>
          <a:r>
            <a:rPr b="0" lang="en-US" sz="800" spc="-1" strike="noStrike">
              <a:solidFill>
                <a:srgbClr val="000000"/>
              </a:solidFill>
              <a:latin typeface="Arial"/>
            </a:rPr>
            <a:t>(lower)</a:t>
          </a:r>
          <a:r>
            <a:rPr b="0" lang="en-US" sz="1000" spc="-1" strike="noStrike">
              <a:solidFill>
                <a:srgbClr val="000000"/>
              </a:solidFill>
              <a:latin typeface="Arial"/>
            </a:rPr>
            <a:t> - 2.48V</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(upper)</a:t>
          </a:r>
          <a:r>
            <a:rPr b="0" lang="en-US" sz="1000" spc="-1" strike="noStrike">
              <a:solidFill>
                <a:srgbClr val="000000"/>
              </a:solidFill>
              <a:latin typeface="Arial"/>
            </a:rPr>
            <a:t> = 2.48V + (R1 x  </a:t>
          </a:r>
          <a:r>
            <a:rPr b="0" lang="en-US" sz="1000" spc="-1" strike="noStrike" u="sng">
              <a:solidFill>
                <a:srgbClr val="000000"/>
              </a:solidFill>
              <a:uFillTx/>
              <a:latin typeface="Arial"/>
            </a:rPr>
            <a:t>( 2.48V     </a:t>
          </a:r>
          <a:r>
            <a:rPr b="0" lang="en-US" sz="1000" spc="-1" strike="noStrike">
              <a:solidFill>
                <a:srgbClr val="000000"/>
              </a:solidFill>
              <a:latin typeface="Arial"/>
            </a:rPr>
            <a:t> +  20uA)</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 + 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(lower)</a:t>
          </a:r>
          <a:r>
            <a:rPr b="0" lang="en-US" sz="1000" spc="-1" strike="noStrike">
              <a:solidFill>
                <a:srgbClr val="000000"/>
              </a:solidFill>
              <a:latin typeface="Arial"/>
            </a:rPr>
            <a:t> = 2.48V x </a:t>
          </a:r>
          <a:r>
            <a:rPr b="0" lang="en-US" sz="1000" spc="-1" strike="noStrike" u="sng">
              <a:solidFill>
                <a:srgbClr val="000000"/>
              </a:solidFill>
              <a:uFillTx/>
              <a:latin typeface="Arial"/>
            </a:rPr>
            <a:t> (R1 + R2 + R3)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 + 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(upper)</a:t>
          </a:r>
          <a:r>
            <a:rPr b="0" lang="en-US" sz="1000" spc="-1" strike="noStrike">
              <a:solidFill>
                <a:srgbClr val="000000"/>
              </a:solidFill>
              <a:latin typeface="Arial"/>
            </a:rPr>
            <a:t> = </a:t>
          </a:r>
          <a:r>
            <a:rPr b="0" lang="en-US" sz="1000" spc="-1" strike="noStrike" u="sng">
              <a:solidFill>
                <a:srgbClr val="000000"/>
              </a:solidFill>
              <a:uFillTx/>
              <a:latin typeface="Arial"/>
            </a:rPr>
            <a:t>  2.46V x (R1 + R2 + R3)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(lower)</a:t>
          </a:r>
          <a:r>
            <a:rPr b="0" lang="en-US" sz="1000" spc="-1" strike="noStrike">
              <a:solidFill>
                <a:srgbClr val="000000"/>
              </a:solidFill>
              <a:latin typeface="Arial"/>
            </a:rPr>
            <a:t> = ((R1 + R2) x ((</a:t>
          </a:r>
          <a:r>
            <a:rPr b="0" lang="en-US" sz="1000" spc="-1" strike="noStrike" u="sng">
              <a:solidFill>
                <a:srgbClr val="000000"/>
              </a:solidFill>
              <a:uFillTx/>
              <a:latin typeface="Arial"/>
            </a:rPr>
            <a:t> 2.46V)</a:t>
          </a:r>
          <a:r>
            <a:rPr b="0" lang="en-US" sz="1000" spc="-1" strike="noStrike">
              <a:solidFill>
                <a:srgbClr val="000000"/>
              </a:solidFill>
              <a:latin typeface="Arial"/>
            </a:rPr>
            <a:t>  -  21uA)) + 2.46V</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R3</a:t>
          </a:r>
          <a:endParaRPr b="0" lang="en-US" sz="1000" spc="-1" strike="noStrike">
            <a:latin typeface="Times New Roman"/>
          </a:endParaRPr>
        </a:p>
        <a:p>
          <a:pPr>
            <a:lnSpc>
              <a:spcPct val="100000"/>
            </a:lnSpc>
          </a:pPr>
          <a:endParaRPr b="0" lang="en-US" sz="1000" spc="-1" strike="noStrike">
            <a:latin typeface="Times New Roman"/>
          </a:endParaRPr>
        </a:p>
      </xdr:txBody>
    </xdr:sp>
    <xdr:clientData/>
  </xdr:twoCellAnchor>
  <xdr:twoCellAnchor editAs="oneCell">
    <xdr:from>
      <xdr:col>6</xdr:col>
      <xdr:colOff>38160</xdr:colOff>
      <xdr:row>164</xdr:row>
      <xdr:rowOff>133200</xdr:rowOff>
    </xdr:from>
    <xdr:to>
      <xdr:col>9</xdr:col>
      <xdr:colOff>275760</xdr:colOff>
      <xdr:row>175</xdr:row>
      <xdr:rowOff>142200</xdr:rowOff>
    </xdr:to>
    <xdr:sp>
      <xdr:nvSpPr>
        <xdr:cNvPr id="29" name="CustomShape 1"/>
        <xdr:cNvSpPr/>
      </xdr:nvSpPr>
      <xdr:spPr>
        <a:xfrm>
          <a:off x="3976920" y="27664200"/>
          <a:ext cx="2739600" cy="188352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0" lang="en-US" sz="1000" spc="-1" strike="noStrike">
              <a:solidFill>
                <a:srgbClr val="000000"/>
              </a:solidFill>
              <a:latin typeface="Arial"/>
            </a:rPr>
            <a:t>Rpwr = 1.428 x 10</a:t>
          </a:r>
          <a:r>
            <a:rPr b="0" lang="en-US" sz="1000" spc="-1" strike="noStrike" baseline="30000">
              <a:solidFill>
                <a:srgbClr val="000000"/>
              </a:solidFill>
              <a:latin typeface="Arial"/>
            </a:rPr>
            <a:t>5</a:t>
          </a:r>
          <a:r>
            <a:rPr b="0" lang="en-US" sz="1000" spc="-1" strike="noStrike">
              <a:solidFill>
                <a:srgbClr val="000000"/>
              </a:solidFill>
              <a:latin typeface="Arial"/>
            </a:rPr>
            <a:t> x Rs x P</a:t>
          </a:r>
          <a:r>
            <a:rPr b="0" lang="en-US" sz="1000" spc="-1" strike="noStrike" baseline="-25000">
              <a:solidFill>
                <a:srgbClr val="000000"/>
              </a:solidFill>
              <a:latin typeface="Arial"/>
            </a:rPr>
            <a:t>FET</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FET(min)</a:t>
          </a:r>
          <a:r>
            <a:rPr b="0" lang="en-US" sz="1000" spc="-1" strike="noStrike">
              <a:solidFill>
                <a:srgbClr val="000000"/>
              </a:solidFill>
              <a:latin typeface="Arial"/>
            </a:rPr>
            <a:t> =    </a:t>
          </a:r>
          <a:r>
            <a:rPr b="0" lang="en-US" sz="1000" spc="-1" strike="noStrike" u="sng">
              <a:solidFill>
                <a:srgbClr val="000000"/>
              </a:solidFill>
              <a:uFillTx/>
              <a:latin typeface="Arial"/>
            </a:rPr>
            <a:t>  4.44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FET(typ)</a:t>
          </a:r>
          <a:r>
            <a:rPr b="0" lang="en-US" sz="1000" spc="-1" strike="noStrike">
              <a:solidFill>
                <a:srgbClr val="000000"/>
              </a:solidFill>
              <a:latin typeface="Arial"/>
            </a:rPr>
            <a:t> =   </a:t>
          </a:r>
          <a:r>
            <a:rPr b="0" lang="en-US" sz="1000" spc="-1" strike="noStrike" u="sng">
              <a:solidFill>
                <a:srgbClr val="000000"/>
              </a:solidFill>
              <a:uFillTx/>
              <a:latin typeface="Arial"/>
            </a:rPr>
            <a:t>   5.85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FET(max)</a:t>
          </a:r>
          <a:r>
            <a:rPr b="0" lang="en-US" sz="1000" spc="-1" strike="noStrike">
              <a:solidFill>
                <a:srgbClr val="000000"/>
              </a:solidFill>
              <a:latin typeface="Arial"/>
            </a:rPr>
            <a:t> =   </a:t>
          </a:r>
          <a:r>
            <a:rPr b="0" lang="en-US" sz="1000" spc="-1" strike="noStrike" u="sng">
              <a:solidFill>
                <a:srgbClr val="000000"/>
              </a:solidFill>
              <a:uFillTx/>
              <a:latin typeface="Arial"/>
            </a:rPr>
            <a:t>   7.25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xdr:txBody>
    </xdr:sp>
    <xdr:clientData/>
  </xdr:twoCellAnchor>
  <xdr:twoCellAnchor editAs="oneCell">
    <xdr:from>
      <xdr:col>16</xdr:col>
      <xdr:colOff>333360</xdr:colOff>
      <xdr:row>115</xdr:row>
      <xdr:rowOff>85680</xdr:rowOff>
    </xdr:from>
    <xdr:to>
      <xdr:col>23</xdr:col>
      <xdr:colOff>95040</xdr:colOff>
      <xdr:row>141</xdr:row>
      <xdr:rowOff>28080</xdr:rowOff>
    </xdr:to>
    <xdr:sp>
      <xdr:nvSpPr>
        <xdr:cNvPr id="30" name="CustomShape 1"/>
        <xdr:cNvSpPr/>
      </xdr:nvSpPr>
      <xdr:spPr>
        <a:xfrm>
          <a:off x="11277360" y="19402200"/>
          <a:ext cx="4046760" cy="430092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1" lang="en-US" sz="1000" spc="-1" strike="noStrike">
              <a:solidFill>
                <a:srgbClr val="000000"/>
              </a:solidFill>
              <a:latin typeface="Arial"/>
            </a:rPr>
            <a:t>Option B</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R1 = </a:t>
          </a:r>
          <a:r>
            <a:rPr b="0" lang="en-US" sz="1000" spc="-1" strike="noStrike" u="sng">
              <a:solidFill>
                <a:srgbClr val="000000"/>
              </a:solidFill>
              <a:uFillTx/>
              <a:latin typeface="Arial"/>
            </a:rPr>
            <a:t> UVLO</a:t>
          </a:r>
          <a:r>
            <a:rPr b="0" lang="en-US" sz="800" spc="-1" strike="noStrike" u="sng">
              <a:solidFill>
                <a:srgbClr val="000000"/>
              </a:solidFill>
              <a:uFillTx/>
              <a:latin typeface="Arial"/>
            </a:rPr>
            <a:t>(upper)</a:t>
          </a:r>
          <a:r>
            <a:rPr b="0" lang="en-US" sz="1000" spc="-1" strike="noStrike" u="sng">
              <a:solidFill>
                <a:srgbClr val="000000"/>
              </a:solidFill>
              <a:uFillTx/>
              <a:latin typeface="Arial"/>
            </a:rPr>
            <a:t> -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a:t>
          </a:r>
          <a:r>
            <a:rPr b="0" lang="en-US" sz="1000" spc="-1" strike="noStrike">
              <a:solidFill>
                <a:srgbClr val="000000"/>
              </a:solidFill>
              <a:latin typeface="Arial"/>
            </a:rPr>
            <a:t>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20 uA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100" spc="-1" strike="noStrike">
              <a:solidFill>
                <a:srgbClr val="000000"/>
              </a:solidFill>
              <a:latin typeface="Calibri"/>
            </a:rPr>
            <a:t>R2 =  </a:t>
          </a:r>
          <a:r>
            <a:rPr b="0" lang="en-US" sz="1100" spc="-1" strike="noStrike" u="sng">
              <a:solidFill>
                <a:srgbClr val="000000"/>
              </a:solidFill>
              <a:uFillTx/>
              <a:latin typeface="Calibri"/>
            </a:rPr>
            <a:t>       2.48V  x  R1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UVLO(lower) - 2.48V</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R3 = </a:t>
          </a:r>
          <a:r>
            <a:rPr b="0" lang="en-US" sz="1100" spc="-1" strike="noStrike" u="sng">
              <a:solidFill>
                <a:srgbClr val="000000"/>
              </a:solidFill>
              <a:uFillTx/>
              <a:latin typeface="Calibri"/>
            </a:rPr>
            <a:t> OVLO(upper) - OVLO(lower)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21 uA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R4 =  </a:t>
          </a:r>
          <a:r>
            <a:rPr b="0" lang="en-US" sz="1100" spc="-1" strike="noStrike" u="sng">
              <a:solidFill>
                <a:srgbClr val="000000"/>
              </a:solidFill>
              <a:uFillTx/>
              <a:latin typeface="Calibri"/>
            </a:rPr>
            <a:t>       2.46V  x  R3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OVLO(upper) - 2.46V</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(upper)</a:t>
          </a:r>
          <a:r>
            <a:rPr b="0" lang="en-US" sz="1000" spc="-1" strike="noStrike">
              <a:solidFill>
                <a:srgbClr val="000000"/>
              </a:solidFill>
              <a:latin typeface="Arial"/>
            </a:rPr>
            <a:t> = 2.48V + (R1 x  </a:t>
          </a:r>
          <a:r>
            <a:rPr b="0" lang="en-US" sz="1000" spc="-1" strike="noStrike" u="sng">
              <a:solidFill>
                <a:srgbClr val="000000"/>
              </a:solidFill>
              <a:uFillTx/>
              <a:latin typeface="Arial"/>
            </a:rPr>
            <a:t>( 2.48V     </a:t>
          </a:r>
          <a:r>
            <a:rPr b="0" lang="en-US" sz="1000" spc="-1" strike="noStrike">
              <a:solidFill>
                <a:srgbClr val="000000"/>
              </a:solidFill>
              <a:latin typeface="Arial"/>
            </a:rPr>
            <a:t> +  20uA)</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(lower)</a:t>
          </a:r>
          <a:r>
            <a:rPr b="0" lang="en-US" sz="1000" spc="-1" strike="noStrike">
              <a:solidFill>
                <a:srgbClr val="000000"/>
              </a:solidFill>
              <a:latin typeface="Arial"/>
            </a:rPr>
            <a:t> = 2.48V x </a:t>
          </a:r>
          <a:r>
            <a:rPr b="0" lang="en-US" sz="1000" spc="-1" strike="noStrike" u="sng">
              <a:solidFill>
                <a:srgbClr val="000000"/>
              </a:solidFill>
              <a:uFillTx/>
              <a:latin typeface="Arial"/>
            </a:rPr>
            <a:t> (R1 + R2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(upper)</a:t>
          </a:r>
          <a:r>
            <a:rPr b="0" lang="en-US" sz="1000" spc="-1" strike="noStrike">
              <a:solidFill>
                <a:srgbClr val="000000"/>
              </a:solidFill>
              <a:latin typeface="Arial"/>
            </a:rPr>
            <a:t> = </a:t>
          </a:r>
          <a:r>
            <a:rPr b="0" lang="en-US" sz="1000" spc="-1" strike="noStrike" u="sng">
              <a:solidFill>
                <a:srgbClr val="000000"/>
              </a:solidFill>
              <a:uFillTx/>
              <a:latin typeface="Arial"/>
            </a:rPr>
            <a:t>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(lower)</a:t>
          </a:r>
          <a:r>
            <a:rPr b="0" lang="en-US" sz="1000" spc="-1" strike="noStrike">
              <a:solidFill>
                <a:srgbClr val="000000"/>
              </a:solidFill>
              <a:latin typeface="Arial"/>
            </a:rPr>
            <a:t> = (R3 x ((</a:t>
          </a:r>
          <a:r>
            <a:rPr b="0" lang="en-US" sz="1000" spc="-1" strike="noStrike" u="sng">
              <a:solidFill>
                <a:srgbClr val="000000"/>
              </a:solidFill>
              <a:uFillTx/>
              <a:latin typeface="Arial"/>
            </a:rPr>
            <a:t> 2.46V)</a:t>
          </a:r>
          <a:r>
            <a:rPr b="0" lang="en-US" sz="1000" spc="-1" strike="noStrike">
              <a:solidFill>
                <a:srgbClr val="000000"/>
              </a:solidFill>
              <a:latin typeface="Arial"/>
            </a:rPr>
            <a:t>  -  21uA)) + 2.46V</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R4</a:t>
          </a:r>
          <a:endParaRPr b="0" lang="en-US" sz="1000" spc="-1" strike="noStrike">
            <a:latin typeface="Times New Roman"/>
          </a:endParaRPr>
        </a:p>
        <a:p>
          <a:pPr>
            <a:lnSpc>
              <a:spcPct val="100000"/>
            </a:lnSpc>
          </a:pPr>
          <a:endParaRPr b="0" lang="en-US" sz="10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563760</xdr:colOff>
      <xdr:row>26</xdr:row>
      <xdr:rowOff>87480</xdr:rowOff>
    </xdr:from>
    <xdr:to>
      <xdr:col>28</xdr:col>
      <xdr:colOff>388080</xdr:colOff>
      <xdr:row>46</xdr:row>
      <xdr:rowOff>136800</xdr:rowOff>
    </xdr:to>
    <xdr:graphicFrame>
      <xdr:nvGraphicFramePr>
        <xdr:cNvPr id="31" name="Chart 4"/>
        <xdr:cNvGraphicFramePr/>
      </xdr:nvGraphicFramePr>
      <xdr:xfrm>
        <a:off x="19250280" y="4446000"/>
        <a:ext cx="4376160" cy="3402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_74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ntro"/>
      <sheetName val="ILIM_SOA_considerations"/>
      <sheetName val="Worksheet"/>
      <sheetName val="SOA"/>
      <sheetName val="Device Parmater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tro"/>
      <sheetName val="ILIM_SOA_considerations"/>
      <sheetName val="Worksheet"/>
      <sheetName val="SOA"/>
    </sheetNames>
    <sheetDataSet>
      <sheetData sheetId="0"/>
      <sheetData sheetId="1"/>
      <sheetData sheetId="2"/>
      <sheetData sheetId="3"/>
    </sheetDataSet>
  </externalBook>
</externalLink>
</file>

<file path=xl/worksheets/_rels/sheet1.xml.rels><?xml version="1.0" encoding="UTF-8"?>
<Relationships xmlns="http://schemas.openxmlformats.org/package/2006/relationships"><Relationship Id="rId1" Type="http://schemas.openxmlformats.org/officeDocument/2006/relationships/hyperlink" Target="http://www.ti.com/lit/ds/snvs452d/snvs452d.pdf" TargetMode="External"/><Relationship Id="rId2" Type="http://schemas.openxmlformats.org/officeDocument/2006/relationships/hyperlink" Target="http://www.ti.com/lit/gpn/lm5066i"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ti.com/hotswap" TargetMode="External"/><Relationship Id="rId3" Type="http://schemas.openxmlformats.org/officeDocument/2006/relationships/hyperlink" Target="https://training.ti.com/node/1133677" TargetMode="External"/><Relationship Id="rId4" Type="http://schemas.openxmlformats.org/officeDocument/2006/relationships/hyperlink" Target="https://training.ti.com/node/1133673" TargetMode="External"/><Relationship Id="rId5" Type="http://schemas.openxmlformats.org/officeDocument/2006/relationships/hyperlink" Target="https://training.ti.com/node/1133664" TargetMode="External"/><Relationship Id="rId6" Type="http://schemas.openxmlformats.org/officeDocument/2006/relationships/hyperlink" Target="https://training.ti.com/node/1133681" TargetMode="External"/><Relationship Id="rId7" Type="http://schemas.openxmlformats.org/officeDocument/2006/relationships/hyperlink" Target="http://www.ti.com/product/lm5066i" TargetMode="External"/><Relationship Id="rId8" Type="http://schemas.openxmlformats.org/officeDocument/2006/relationships/hyperlink" Target="http://e2e.ti.com/" TargetMode="External"/><Relationship Id="rId9" Type="http://schemas.openxmlformats.org/officeDocument/2006/relationships/hyperlink" Target="https://training.ti.com/node/1133677" TargetMode="External"/><Relationship Id="rId10" Type="http://schemas.openxmlformats.org/officeDocument/2006/relationships/hyperlink" Target="https://training.ti.com/node/1133677" TargetMode="External"/><Relationship Id="rId11" Type="http://schemas.openxmlformats.org/officeDocument/2006/relationships/hyperlink" Target="https://training.ti.com/node/1133673" TargetMode="External"/><Relationship Id="rId12" Type="http://schemas.openxmlformats.org/officeDocument/2006/relationships/hyperlink" Target="https://training.ti.com/node/1133664" TargetMode="External"/><Relationship Id="rId13" Type="http://schemas.openxmlformats.org/officeDocument/2006/relationships/hyperlink" Target="https://training.ti.com/node/1133681" TargetMode="External"/><Relationship Id="rId14" Type="http://schemas.openxmlformats.org/officeDocument/2006/relationships/drawing" Target="../drawings/drawing2.xml"/><Relationship Id="rId15"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P102"/>
  <sheetViews>
    <sheetView showFormulas="false" showGridLines="true" showRowColHeaders="true" showZeros="true" rightToLeft="false" tabSelected="false" showOutlineSymbols="true" defaultGridColor="true" view="normal" topLeftCell="A67" colorId="64" zoomScale="85" zoomScaleNormal="85" zoomScalePageLayoutView="100" workbookViewId="0">
      <selection pane="topLeft" activeCell="A1" activeCellId="0" sqref="A1"/>
    </sheetView>
  </sheetViews>
  <sheetFormatPr defaultRowHeight="13.2" zeroHeight="false" outlineLevelRow="0" outlineLevelCol="0"/>
  <cols>
    <col collapsed="false" customWidth="true" hidden="false" outlineLevel="0" max="15" min="1" style="0" width="8.67"/>
    <col collapsed="false" customWidth="true" hidden="false" outlineLevel="0" max="16" min="16" style="0" width="16.56"/>
    <col collapsed="false" customWidth="true" hidden="false" outlineLevel="0" max="1025" min="17" style="0" width="8.67"/>
  </cols>
  <sheetData>
    <row r="1" customFormat="false" ht="13.8" hidden="false" customHeight="false" outlineLevel="0" collapsed="false">
      <c r="A1" s="1"/>
      <c r="B1" s="2"/>
      <c r="C1" s="2"/>
      <c r="D1" s="2"/>
      <c r="E1" s="2"/>
      <c r="F1" s="2"/>
      <c r="G1" s="2"/>
      <c r="H1" s="2"/>
      <c r="I1" s="2"/>
      <c r="J1" s="2"/>
      <c r="K1" s="2"/>
      <c r="L1" s="2"/>
      <c r="M1" s="2"/>
      <c r="N1" s="2"/>
      <c r="O1" s="2"/>
      <c r="P1" s="3"/>
    </row>
    <row r="2" customFormat="false" ht="13.2" hidden="false" customHeight="false" outlineLevel="0" collapsed="false">
      <c r="A2" s="4"/>
      <c r="B2" s="5"/>
      <c r="C2" s="5"/>
      <c r="D2" s="5"/>
      <c r="E2" s="5"/>
      <c r="F2" s="5"/>
      <c r="G2" s="5"/>
      <c r="H2" s="5"/>
      <c r="I2" s="5"/>
      <c r="J2" s="5"/>
      <c r="K2" s="5"/>
      <c r="L2" s="5"/>
      <c r="M2" s="5"/>
      <c r="N2" s="5"/>
      <c r="O2" s="5"/>
      <c r="P2" s="6"/>
    </row>
    <row r="3" customFormat="false" ht="30" hidden="false" customHeight="false" outlineLevel="0" collapsed="false">
      <c r="A3" s="4"/>
      <c r="B3" s="5"/>
      <c r="C3" s="5"/>
      <c r="D3" s="7"/>
      <c r="E3" s="5"/>
      <c r="F3" s="5"/>
      <c r="G3" s="5"/>
      <c r="H3" s="5"/>
      <c r="I3" s="5"/>
      <c r="J3" s="5"/>
      <c r="K3" s="5"/>
      <c r="L3" s="8"/>
      <c r="M3" s="5"/>
      <c r="N3" s="5"/>
      <c r="O3" s="5"/>
      <c r="P3" s="6"/>
    </row>
    <row r="4" customFormat="false" ht="22.8" hidden="false" customHeight="false" outlineLevel="0" collapsed="false">
      <c r="A4" s="4"/>
      <c r="B4" s="5"/>
      <c r="C4" s="5"/>
      <c r="D4" s="9"/>
      <c r="E4" s="5"/>
      <c r="F4" s="5"/>
      <c r="G4" s="5"/>
      <c r="H4" s="5"/>
      <c r="I4" s="5"/>
      <c r="J4" s="5"/>
      <c r="K4" s="5"/>
      <c r="L4" s="5"/>
      <c r="M4" s="5"/>
      <c r="N4" s="5"/>
      <c r="O4" s="5"/>
      <c r="P4" s="6"/>
    </row>
    <row r="5" customFormat="false" ht="13.2" hidden="false" customHeight="false" outlineLevel="0" collapsed="false">
      <c r="A5" s="4"/>
      <c r="B5" s="5"/>
      <c r="C5" s="5"/>
      <c r="D5" s="5"/>
      <c r="E5" s="5"/>
      <c r="F5" s="5"/>
      <c r="G5" s="5"/>
      <c r="H5" s="5"/>
      <c r="I5" s="5"/>
      <c r="J5" s="5"/>
      <c r="K5" s="5"/>
      <c r="L5" s="5"/>
      <c r="M5" s="5"/>
      <c r="N5" s="5"/>
      <c r="O5" s="5"/>
      <c r="P5" s="6"/>
    </row>
    <row r="6" customFormat="false" ht="13.2" hidden="false" customHeight="false" outlineLevel="0" collapsed="false">
      <c r="A6" s="4"/>
      <c r="B6" s="5"/>
      <c r="C6" s="5"/>
      <c r="D6" s="5"/>
      <c r="E6" s="5"/>
      <c r="F6" s="5"/>
      <c r="G6" s="5"/>
      <c r="H6" s="5"/>
      <c r="I6" s="5"/>
      <c r="J6" s="5"/>
      <c r="K6" s="5"/>
      <c r="L6" s="5"/>
      <c r="M6" s="5"/>
      <c r="N6" s="5"/>
      <c r="O6" s="5"/>
      <c r="P6" s="6"/>
    </row>
    <row r="7" customFormat="false" ht="15.6" hidden="false" customHeight="false" outlineLevel="0" collapsed="false">
      <c r="A7" s="4"/>
      <c r="B7" s="5"/>
      <c r="C7" s="5"/>
      <c r="D7" s="5"/>
      <c r="E7" s="5"/>
      <c r="F7" s="5"/>
      <c r="G7" s="5"/>
      <c r="H7" s="5"/>
      <c r="I7" s="5"/>
      <c r="J7" s="5"/>
      <c r="K7" s="5"/>
      <c r="L7" s="5"/>
      <c r="M7" s="8" t="s">
        <v>0</v>
      </c>
      <c r="N7" s="5"/>
      <c r="O7" s="5"/>
      <c r="P7" s="6"/>
    </row>
    <row r="8" customFormat="false" ht="30" hidden="false" customHeight="false" outlineLevel="0" collapsed="false">
      <c r="A8" s="4"/>
      <c r="B8" s="7" t="s">
        <v>1</v>
      </c>
      <c r="C8" s="5"/>
      <c r="D8" s="5"/>
      <c r="E8" s="5"/>
      <c r="F8" s="5"/>
      <c r="G8" s="5"/>
      <c r="H8" s="5"/>
      <c r="I8" s="5"/>
      <c r="J8" s="5"/>
      <c r="K8" s="5"/>
      <c r="L8" s="5"/>
      <c r="M8" s="5"/>
      <c r="N8" s="5"/>
      <c r="O8" s="5"/>
      <c r="P8" s="6"/>
    </row>
    <row r="9" customFormat="false" ht="13.2" hidden="false" customHeight="false" outlineLevel="0" collapsed="false">
      <c r="A9" s="4"/>
      <c r="B9" s="5"/>
      <c r="C9" s="5"/>
      <c r="D9" s="5"/>
      <c r="E9" s="5"/>
      <c r="F9" s="5"/>
      <c r="G9" s="5"/>
      <c r="H9" s="5"/>
      <c r="I9" s="5"/>
      <c r="J9" s="5"/>
      <c r="K9" s="5"/>
      <c r="L9" s="5"/>
      <c r="M9" s="5"/>
      <c r="N9" s="5"/>
      <c r="O9" s="5"/>
      <c r="P9" s="6"/>
    </row>
    <row r="10" customFormat="false" ht="20.4" hidden="false" customHeight="false" outlineLevel="0" collapsed="false">
      <c r="A10" s="4"/>
      <c r="B10" s="10" t="s">
        <v>2</v>
      </c>
      <c r="C10" s="11"/>
      <c r="D10" s="11"/>
      <c r="E10" s="11"/>
      <c r="F10" s="5"/>
      <c r="G10" s="5"/>
      <c r="H10" s="5"/>
      <c r="I10" s="5"/>
      <c r="J10" s="5"/>
      <c r="K10" s="5"/>
      <c r="L10" s="5"/>
      <c r="M10" s="5"/>
      <c r="N10" s="5"/>
      <c r="O10" s="5"/>
      <c r="P10" s="6"/>
    </row>
    <row r="11" customFormat="false" ht="13.8" hidden="false" customHeight="false" outlineLevel="0" collapsed="false">
      <c r="A11" s="4"/>
      <c r="B11" s="12" t="s">
        <v>3</v>
      </c>
      <c r="C11" s="13"/>
      <c r="D11" s="13"/>
      <c r="E11" s="13"/>
      <c r="F11" s="5"/>
      <c r="G11" s="5"/>
      <c r="H11" s="5"/>
      <c r="I11" s="5"/>
      <c r="J11" s="5"/>
      <c r="K11" s="5"/>
      <c r="L11" s="5"/>
      <c r="M11" s="5"/>
      <c r="N11" s="5"/>
      <c r="O11" s="5"/>
      <c r="P11" s="6"/>
    </row>
    <row r="12" customFormat="false" ht="13.8" hidden="false" customHeight="false" outlineLevel="0" collapsed="false">
      <c r="A12" s="4"/>
      <c r="B12" s="12" t="s">
        <v>4</v>
      </c>
      <c r="C12" s="13"/>
      <c r="D12" s="13"/>
      <c r="E12" s="13"/>
      <c r="F12" s="5"/>
      <c r="G12" s="5"/>
      <c r="H12" s="5"/>
      <c r="I12" s="5"/>
      <c r="J12" s="5"/>
      <c r="K12" s="5"/>
      <c r="L12" s="5"/>
      <c r="M12" s="5"/>
      <c r="N12" s="5"/>
      <c r="O12" s="5"/>
      <c r="P12" s="6"/>
    </row>
    <row r="13" customFormat="false" ht="13.2" hidden="false" customHeight="false" outlineLevel="0" collapsed="false">
      <c r="A13" s="4"/>
      <c r="B13" s="11"/>
      <c r="C13" s="11"/>
      <c r="D13" s="11"/>
      <c r="E13" s="11"/>
      <c r="F13" s="5"/>
      <c r="G13" s="5"/>
      <c r="H13" s="5"/>
      <c r="I13" s="5"/>
      <c r="J13" s="5"/>
      <c r="K13" s="5"/>
      <c r="L13" s="5"/>
      <c r="M13" s="5"/>
      <c r="N13" s="5"/>
      <c r="O13" s="5"/>
      <c r="P13" s="6"/>
    </row>
    <row r="14" customFormat="false" ht="13.2" hidden="false" customHeight="false" outlineLevel="0" collapsed="false">
      <c r="A14" s="4"/>
      <c r="B14" s="14" t="s">
        <v>5</v>
      </c>
      <c r="C14" s="11"/>
      <c r="D14" s="11"/>
      <c r="E14" s="11"/>
      <c r="F14" s="5"/>
      <c r="G14" s="5"/>
      <c r="H14" s="5"/>
      <c r="I14" s="5"/>
      <c r="J14" s="5"/>
      <c r="K14" s="5"/>
      <c r="L14" s="5"/>
      <c r="M14" s="5"/>
      <c r="N14" s="5"/>
      <c r="O14" s="5"/>
      <c r="P14" s="6"/>
    </row>
    <row r="15" customFormat="false" ht="13.2" hidden="false" customHeight="false" outlineLevel="0" collapsed="false">
      <c r="A15" s="4"/>
      <c r="B15" s="15" t="s">
        <v>6</v>
      </c>
      <c r="C15" s="15"/>
      <c r="D15" s="15"/>
      <c r="E15" s="15"/>
      <c r="F15" s="15"/>
      <c r="G15" s="15"/>
      <c r="H15" s="15"/>
      <c r="I15" s="15"/>
      <c r="J15" s="5"/>
      <c r="K15" s="5"/>
      <c r="L15" s="5"/>
      <c r="M15" s="5"/>
      <c r="N15" s="5"/>
      <c r="O15" s="5"/>
      <c r="P15" s="6"/>
    </row>
    <row r="16" customFormat="false" ht="13.2" hidden="false" customHeight="false" outlineLevel="0" collapsed="false">
      <c r="A16" s="4"/>
      <c r="B16" s="14"/>
      <c r="C16" s="11"/>
      <c r="D16" s="11"/>
      <c r="E16" s="11"/>
      <c r="F16" s="5"/>
      <c r="G16" s="5"/>
      <c r="H16" s="5"/>
      <c r="I16" s="5"/>
      <c r="J16" s="5"/>
      <c r="K16" s="5"/>
      <c r="L16" s="5"/>
      <c r="M16" s="5"/>
      <c r="N16" s="5"/>
      <c r="O16" s="5"/>
      <c r="P16" s="6"/>
    </row>
    <row r="17" customFormat="false" ht="13.2" hidden="false" customHeight="false" outlineLevel="0" collapsed="false">
      <c r="A17" s="4"/>
      <c r="B17" s="16" t="s">
        <v>7</v>
      </c>
      <c r="C17" s="11"/>
      <c r="D17" s="11"/>
      <c r="E17" s="11"/>
      <c r="F17" s="5"/>
      <c r="G17" s="5"/>
      <c r="H17" s="5"/>
      <c r="I17" s="5"/>
      <c r="J17" s="5"/>
      <c r="K17" s="5"/>
      <c r="L17" s="5"/>
      <c r="M17" s="5"/>
      <c r="N17" s="5"/>
      <c r="O17" s="5"/>
      <c r="P17" s="6"/>
    </row>
    <row r="18" customFormat="false" ht="13.2" hidden="false" customHeight="false" outlineLevel="0" collapsed="false">
      <c r="A18" s="4"/>
      <c r="B18" s="17" t="s">
        <v>8</v>
      </c>
      <c r="C18" s="11"/>
      <c r="D18" s="11"/>
      <c r="E18" s="11"/>
      <c r="F18" s="5"/>
      <c r="G18" s="5"/>
      <c r="H18" s="5"/>
      <c r="I18" s="5"/>
      <c r="J18" s="5"/>
      <c r="K18" s="5"/>
      <c r="L18" s="5"/>
      <c r="M18" s="5"/>
      <c r="N18" s="5"/>
      <c r="O18" s="5"/>
      <c r="P18" s="6"/>
    </row>
    <row r="19" customFormat="false" ht="13.2" hidden="false" customHeight="false" outlineLevel="0" collapsed="false">
      <c r="A19" s="4"/>
      <c r="B19" s="17" t="s">
        <v>9</v>
      </c>
      <c r="C19" s="11"/>
      <c r="D19" s="11"/>
      <c r="E19" s="11"/>
      <c r="F19" s="5"/>
      <c r="G19" s="5"/>
      <c r="H19" s="5"/>
      <c r="I19" s="5"/>
      <c r="J19" s="5"/>
      <c r="K19" s="5"/>
      <c r="L19" s="5"/>
      <c r="M19" s="5"/>
      <c r="N19" s="5"/>
      <c r="O19" s="5"/>
      <c r="P19" s="6"/>
    </row>
    <row r="20" customFormat="false" ht="13.2" hidden="false" customHeight="false" outlineLevel="0" collapsed="false">
      <c r="A20" s="4"/>
      <c r="B20" s="17" t="s">
        <v>10</v>
      </c>
      <c r="C20" s="11"/>
      <c r="D20" s="11"/>
      <c r="E20" s="11"/>
      <c r="F20" s="5"/>
      <c r="G20" s="5"/>
      <c r="H20" s="5"/>
      <c r="I20" s="5"/>
      <c r="J20" s="5"/>
      <c r="K20" s="5"/>
      <c r="L20" s="5"/>
      <c r="M20" s="5"/>
      <c r="N20" s="5"/>
      <c r="O20" s="5"/>
      <c r="P20" s="6"/>
    </row>
    <row r="21" customFormat="false" ht="13.2" hidden="false" customHeight="false" outlineLevel="0" collapsed="false">
      <c r="A21" s="4"/>
      <c r="B21" s="17" t="s">
        <v>11</v>
      </c>
      <c r="C21" s="11"/>
      <c r="D21" s="11"/>
      <c r="E21" s="11"/>
      <c r="F21" s="5"/>
      <c r="G21" s="5"/>
      <c r="H21" s="5"/>
      <c r="I21" s="5"/>
      <c r="J21" s="5"/>
      <c r="K21" s="5"/>
      <c r="L21" s="5"/>
      <c r="M21" s="5"/>
      <c r="N21" s="5"/>
      <c r="O21" s="5"/>
      <c r="P21" s="6"/>
    </row>
    <row r="22" customFormat="false" ht="13.2" hidden="false" customHeight="false" outlineLevel="0" collapsed="false">
      <c r="A22" s="4"/>
      <c r="B22" s="17" t="s">
        <v>12</v>
      </c>
      <c r="C22" s="11"/>
      <c r="D22" s="11"/>
      <c r="E22" s="11"/>
      <c r="F22" s="5"/>
      <c r="G22" s="5"/>
      <c r="H22" s="5"/>
      <c r="I22" s="5"/>
      <c r="J22" s="5"/>
      <c r="K22" s="5"/>
      <c r="L22" s="5"/>
      <c r="M22" s="5"/>
      <c r="N22" s="5"/>
      <c r="O22" s="5"/>
      <c r="P22" s="6"/>
    </row>
    <row r="23" customFormat="false" ht="13.2" hidden="false" customHeight="false" outlineLevel="0" collapsed="false">
      <c r="A23" s="4"/>
      <c r="B23" s="17" t="s">
        <v>13</v>
      </c>
      <c r="C23" s="11"/>
      <c r="D23" s="11"/>
      <c r="E23" s="11"/>
      <c r="F23" s="5"/>
      <c r="G23" s="5"/>
      <c r="H23" s="5"/>
      <c r="I23" s="5"/>
      <c r="J23" s="5"/>
      <c r="K23" s="5"/>
      <c r="L23" s="5"/>
      <c r="M23" s="5"/>
      <c r="N23" s="5"/>
      <c r="O23" s="5"/>
      <c r="P23" s="6"/>
    </row>
    <row r="24" customFormat="false" ht="13.2" hidden="false" customHeight="false" outlineLevel="0" collapsed="false">
      <c r="A24" s="4"/>
      <c r="B24" s="17" t="s">
        <v>14</v>
      </c>
      <c r="C24" s="11"/>
      <c r="D24" s="11"/>
      <c r="E24" s="11"/>
      <c r="F24" s="5"/>
      <c r="G24" s="5"/>
      <c r="H24" s="5"/>
      <c r="I24" s="5"/>
      <c r="J24" s="5"/>
      <c r="K24" s="5"/>
      <c r="L24" s="5"/>
      <c r="M24" s="5"/>
      <c r="N24" s="5"/>
      <c r="O24" s="5"/>
      <c r="P24" s="6"/>
    </row>
    <row r="25" customFormat="false" ht="13.2" hidden="false" customHeight="false" outlineLevel="0" collapsed="false">
      <c r="A25" s="4"/>
      <c r="B25" s="17"/>
      <c r="C25" s="11"/>
      <c r="D25" s="11"/>
      <c r="E25" s="11"/>
      <c r="F25" s="5"/>
      <c r="G25" s="5"/>
      <c r="H25" s="5"/>
      <c r="I25" s="5"/>
      <c r="J25" s="5"/>
      <c r="K25" s="5"/>
      <c r="L25" s="5"/>
      <c r="M25" s="5"/>
      <c r="N25" s="5"/>
      <c r="O25" s="5"/>
      <c r="P25" s="6"/>
    </row>
    <row r="26" customFormat="false" ht="20.4" hidden="false" customHeight="false" outlineLevel="0" collapsed="false">
      <c r="A26" s="4"/>
      <c r="B26" s="10" t="s">
        <v>15</v>
      </c>
      <c r="C26" s="5"/>
      <c r="D26" s="5"/>
      <c r="E26" s="5"/>
      <c r="F26" s="5"/>
      <c r="G26" s="5"/>
      <c r="H26" s="5"/>
      <c r="I26" s="5"/>
      <c r="J26" s="5"/>
      <c r="K26" s="5"/>
      <c r="L26" s="5"/>
      <c r="M26" s="5"/>
      <c r="N26" s="5"/>
      <c r="O26" s="5"/>
      <c r="P26" s="6"/>
    </row>
    <row r="27" customFormat="false" ht="13.2" hidden="false" customHeight="false" outlineLevel="0" collapsed="false">
      <c r="A27" s="4"/>
      <c r="B27" s="18" t="s">
        <v>16</v>
      </c>
      <c r="C27" s="5"/>
      <c r="D27" s="5"/>
      <c r="E27" s="5"/>
      <c r="F27" s="5"/>
      <c r="G27" s="5"/>
      <c r="H27" s="5"/>
      <c r="I27" s="5"/>
      <c r="J27" s="5"/>
      <c r="K27" s="5"/>
      <c r="L27" s="5"/>
      <c r="M27" s="5"/>
      <c r="N27" s="5"/>
      <c r="O27" s="5"/>
      <c r="P27" s="6"/>
    </row>
    <row r="28" customFormat="false" ht="13.2" hidden="false" customHeight="false" outlineLevel="0" collapsed="false">
      <c r="A28" s="4"/>
      <c r="B28" s="5" t="s">
        <v>17</v>
      </c>
      <c r="C28" s="5"/>
      <c r="D28" s="5"/>
      <c r="E28" s="5"/>
      <c r="F28" s="5"/>
      <c r="G28" s="5"/>
      <c r="H28" s="5"/>
      <c r="I28" s="5"/>
      <c r="J28" s="5"/>
      <c r="K28" s="5"/>
      <c r="L28" s="5"/>
      <c r="M28" s="5"/>
      <c r="N28" s="5"/>
      <c r="O28" s="5"/>
      <c r="P28" s="6"/>
    </row>
    <row r="29" customFormat="false" ht="13.2" hidden="false" customHeight="false" outlineLevel="0" collapsed="false">
      <c r="A29" s="4"/>
      <c r="B29" s="5"/>
      <c r="C29" s="5"/>
      <c r="D29" s="5"/>
      <c r="E29" s="5"/>
      <c r="F29" s="5"/>
      <c r="G29" s="5"/>
      <c r="H29" s="5"/>
      <c r="I29" s="5"/>
      <c r="J29" s="5"/>
      <c r="K29" s="5"/>
      <c r="L29" s="5"/>
      <c r="M29" s="5"/>
      <c r="N29" s="5"/>
      <c r="O29" s="5"/>
      <c r="P29" s="6"/>
    </row>
    <row r="30" customFormat="false" ht="13.2" hidden="false" customHeight="false" outlineLevel="0" collapsed="false">
      <c r="A30" s="4"/>
      <c r="B30" s="18" t="s">
        <v>18</v>
      </c>
      <c r="C30" s="5"/>
      <c r="D30" s="5"/>
      <c r="E30" s="5"/>
      <c r="F30" s="5"/>
      <c r="G30" s="5"/>
      <c r="H30" s="5"/>
      <c r="I30" s="5"/>
      <c r="J30" s="5"/>
      <c r="K30" s="5"/>
      <c r="L30" s="5"/>
      <c r="M30" s="5"/>
      <c r="N30" s="5"/>
      <c r="O30" s="5"/>
      <c r="P30" s="6"/>
    </row>
    <row r="31" customFormat="false" ht="13.2" hidden="false" customHeight="false" outlineLevel="0" collapsed="false">
      <c r="A31" s="4"/>
      <c r="B31" s="5"/>
      <c r="C31" s="5"/>
      <c r="D31" s="5"/>
      <c r="E31" s="5"/>
      <c r="F31" s="5"/>
      <c r="G31" s="5"/>
      <c r="H31" s="5"/>
      <c r="I31" s="5"/>
      <c r="J31" s="5"/>
      <c r="K31" s="5"/>
      <c r="L31" s="5"/>
      <c r="M31" s="5"/>
      <c r="N31" s="5"/>
      <c r="O31" s="5"/>
      <c r="P31" s="6"/>
    </row>
    <row r="32" customFormat="false" ht="13.2" hidden="false" customHeight="false" outlineLevel="0" collapsed="false">
      <c r="A32" s="4"/>
      <c r="B32" s="5" t="s">
        <v>19</v>
      </c>
      <c r="C32" s="5"/>
      <c r="D32" s="5"/>
      <c r="E32" s="5"/>
      <c r="F32" s="5"/>
      <c r="G32" s="5"/>
      <c r="H32" s="5"/>
      <c r="I32" s="5"/>
      <c r="J32" s="5"/>
      <c r="K32" s="5"/>
      <c r="L32" s="5"/>
      <c r="M32" s="5"/>
      <c r="N32" s="5"/>
      <c r="O32" s="5"/>
      <c r="P32" s="6"/>
    </row>
    <row r="33" customFormat="false" ht="13.2" hidden="false" customHeight="false" outlineLevel="0" collapsed="false">
      <c r="A33" s="4"/>
      <c r="B33" s="18"/>
      <c r="C33" s="5"/>
      <c r="D33" s="5"/>
      <c r="E33" s="5"/>
      <c r="F33" s="5"/>
      <c r="G33" s="5"/>
      <c r="H33" s="5"/>
      <c r="I33" s="5"/>
      <c r="J33" s="5"/>
      <c r="K33" s="5"/>
      <c r="L33" s="5"/>
      <c r="M33" s="5"/>
      <c r="N33" s="5"/>
      <c r="O33" s="5"/>
      <c r="P33" s="6"/>
    </row>
    <row r="34" customFormat="false" ht="13.2" hidden="false" customHeight="false" outlineLevel="0" collapsed="false">
      <c r="A34" s="4"/>
      <c r="B34" s="5"/>
      <c r="C34" s="5"/>
      <c r="D34" s="5"/>
      <c r="E34" s="5"/>
      <c r="F34" s="5"/>
      <c r="G34" s="5"/>
      <c r="H34" s="5"/>
      <c r="I34" s="5"/>
      <c r="J34" s="5"/>
      <c r="K34" s="5"/>
      <c r="L34" s="5"/>
      <c r="M34" s="5"/>
      <c r="N34" s="5"/>
      <c r="O34" s="5"/>
      <c r="P34" s="6"/>
    </row>
    <row r="35" customFormat="false" ht="13.8" hidden="false" customHeight="false" outlineLevel="0" collapsed="false">
      <c r="A35" s="4"/>
      <c r="B35" s="5"/>
      <c r="C35" s="5"/>
      <c r="D35" s="5"/>
      <c r="E35" s="5"/>
      <c r="F35" s="5"/>
      <c r="G35" s="5"/>
      <c r="H35" s="5"/>
      <c r="I35" s="5"/>
      <c r="J35" s="5"/>
      <c r="K35" s="5"/>
      <c r="L35" s="5"/>
      <c r="M35" s="5"/>
      <c r="N35" s="5"/>
      <c r="O35" s="5"/>
      <c r="P35" s="6"/>
    </row>
    <row r="36" customFormat="false" ht="13.95" hidden="false" customHeight="true" outlineLevel="0" collapsed="false">
      <c r="A36" s="4"/>
      <c r="B36" s="19" t="s">
        <v>20</v>
      </c>
      <c r="C36" s="19"/>
      <c r="D36" s="19"/>
      <c r="E36" s="19"/>
      <c r="F36" s="19"/>
      <c r="G36" s="19"/>
      <c r="H36" s="19"/>
      <c r="I36" s="19"/>
      <c r="J36" s="19"/>
      <c r="K36" s="19"/>
      <c r="L36" s="19"/>
      <c r="M36" s="19"/>
      <c r="N36" s="5"/>
      <c r="O36" s="5"/>
      <c r="P36" s="6"/>
    </row>
    <row r="37" customFormat="false" ht="13.95" hidden="false" customHeight="true" outlineLevel="0" collapsed="false">
      <c r="A37" s="4"/>
      <c r="B37" s="19"/>
      <c r="C37" s="19"/>
      <c r="D37" s="19"/>
      <c r="E37" s="19"/>
      <c r="F37" s="19"/>
      <c r="G37" s="19"/>
      <c r="H37" s="19"/>
      <c r="I37" s="19"/>
      <c r="J37" s="19"/>
      <c r="K37" s="19"/>
      <c r="L37" s="19"/>
      <c r="M37" s="19"/>
      <c r="N37" s="5"/>
      <c r="O37" s="5"/>
      <c r="P37" s="6"/>
    </row>
    <row r="38" customFormat="false" ht="13.95" hidden="false" customHeight="true" outlineLevel="0" collapsed="false">
      <c r="A38" s="4"/>
      <c r="B38" s="19"/>
      <c r="C38" s="19"/>
      <c r="D38" s="19"/>
      <c r="E38" s="19"/>
      <c r="F38" s="19"/>
      <c r="G38" s="19"/>
      <c r="H38" s="19"/>
      <c r="I38" s="19"/>
      <c r="J38" s="19"/>
      <c r="K38" s="19"/>
      <c r="L38" s="19"/>
      <c r="M38" s="19"/>
      <c r="N38" s="5"/>
      <c r="O38" s="5"/>
      <c r="P38" s="6"/>
    </row>
    <row r="39" customFormat="false" ht="13.95" hidden="false" customHeight="true" outlineLevel="0" collapsed="false">
      <c r="A39" s="4"/>
      <c r="B39" s="19"/>
      <c r="C39" s="19"/>
      <c r="D39" s="19"/>
      <c r="E39" s="19"/>
      <c r="F39" s="19"/>
      <c r="G39" s="19"/>
      <c r="H39" s="19"/>
      <c r="I39" s="19"/>
      <c r="J39" s="19"/>
      <c r="K39" s="19"/>
      <c r="L39" s="19"/>
      <c r="M39" s="19"/>
      <c r="N39" s="5"/>
      <c r="O39" s="5"/>
      <c r="P39" s="6"/>
    </row>
    <row r="40" customFormat="false" ht="13.95" hidden="false" customHeight="true" outlineLevel="0" collapsed="false">
      <c r="A40" s="4"/>
      <c r="B40" s="19"/>
      <c r="C40" s="19"/>
      <c r="D40" s="19"/>
      <c r="E40" s="19"/>
      <c r="F40" s="19"/>
      <c r="G40" s="19"/>
      <c r="H40" s="19"/>
      <c r="I40" s="19"/>
      <c r="J40" s="19"/>
      <c r="K40" s="19"/>
      <c r="L40" s="19"/>
      <c r="M40" s="19"/>
      <c r="N40" s="5"/>
      <c r="O40" s="5"/>
      <c r="P40" s="6"/>
    </row>
    <row r="41" customFormat="false" ht="13.95" hidden="false" customHeight="true" outlineLevel="0" collapsed="false">
      <c r="A41" s="4"/>
      <c r="B41" s="19"/>
      <c r="C41" s="19"/>
      <c r="D41" s="19"/>
      <c r="E41" s="19"/>
      <c r="F41" s="19"/>
      <c r="G41" s="19"/>
      <c r="H41" s="19"/>
      <c r="I41" s="19"/>
      <c r="J41" s="19"/>
      <c r="K41" s="19"/>
      <c r="L41" s="19"/>
      <c r="M41" s="19"/>
      <c r="N41" s="5"/>
      <c r="O41" s="5"/>
      <c r="P41" s="6"/>
    </row>
    <row r="42" customFormat="false" ht="13.95" hidden="false" customHeight="true" outlineLevel="0" collapsed="false">
      <c r="A42" s="4"/>
      <c r="B42" s="19"/>
      <c r="C42" s="19"/>
      <c r="D42" s="19"/>
      <c r="E42" s="19"/>
      <c r="F42" s="19"/>
      <c r="G42" s="19"/>
      <c r="H42" s="19"/>
      <c r="I42" s="19"/>
      <c r="J42" s="19"/>
      <c r="K42" s="19"/>
      <c r="L42" s="19"/>
      <c r="M42" s="19"/>
      <c r="N42" s="5"/>
      <c r="O42" s="5"/>
      <c r="P42" s="6"/>
    </row>
    <row r="43" customFormat="false" ht="13.95" hidden="false" customHeight="true" outlineLevel="0" collapsed="false">
      <c r="A43" s="4"/>
      <c r="B43" s="19"/>
      <c r="C43" s="19"/>
      <c r="D43" s="19"/>
      <c r="E43" s="19"/>
      <c r="F43" s="19"/>
      <c r="G43" s="19"/>
      <c r="H43" s="19"/>
      <c r="I43" s="19"/>
      <c r="J43" s="19"/>
      <c r="K43" s="19"/>
      <c r="L43" s="19"/>
      <c r="M43" s="19"/>
      <c r="N43" s="5"/>
      <c r="O43" s="5"/>
      <c r="P43" s="6"/>
    </row>
    <row r="44" customFormat="false" ht="13.95" hidden="false" customHeight="true" outlineLevel="0" collapsed="false">
      <c r="A44" s="4"/>
      <c r="B44" s="19"/>
      <c r="C44" s="19"/>
      <c r="D44" s="19"/>
      <c r="E44" s="19"/>
      <c r="F44" s="19"/>
      <c r="G44" s="19"/>
      <c r="H44" s="19"/>
      <c r="I44" s="19"/>
      <c r="J44" s="19"/>
      <c r="K44" s="19"/>
      <c r="L44" s="19"/>
      <c r="M44" s="19"/>
      <c r="N44" s="5"/>
      <c r="O44" s="5"/>
      <c r="P44" s="6"/>
    </row>
    <row r="45" customFormat="false" ht="13.95" hidden="false" customHeight="true" outlineLevel="0" collapsed="false">
      <c r="A45" s="4"/>
      <c r="B45" s="19"/>
      <c r="C45" s="19"/>
      <c r="D45" s="19"/>
      <c r="E45" s="19"/>
      <c r="F45" s="19"/>
      <c r="G45" s="19"/>
      <c r="H45" s="19"/>
      <c r="I45" s="19"/>
      <c r="J45" s="19"/>
      <c r="K45" s="19"/>
      <c r="L45" s="19"/>
      <c r="M45" s="19"/>
      <c r="N45" s="5"/>
      <c r="O45" s="5"/>
      <c r="P45" s="6"/>
    </row>
    <row r="46" customFormat="false" ht="13.95" hidden="false" customHeight="true" outlineLevel="0" collapsed="false">
      <c r="A46" s="4"/>
      <c r="B46" s="19"/>
      <c r="C46" s="19"/>
      <c r="D46" s="19"/>
      <c r="E46" s="19"/>
      <c r="F46" s="19"/>
      <c r="G46" s="19"/>
      <c r="H46" s="19"/>
      <c r="I46" s="19"/>
      <c r="J46" s="19"/>
      <c r="K46" s="19"/>
      <c r="L46" s="19"/>
      <c r="M46" s="19"/>
      <c r="N46" s="5"/>
      <c r="O46" s="5"/>
      <c r="P46" s="6"/>
    </row>
    <row r="47" customFormat="false" ht="13.95" hidden="false" customHeight="true" outlineLevel="0" collapsed="false">
      <c r="A47" s="4"/>
      <c r="B47" s="19"/>
      <c r="C47" s="19"/>
      <c r="D47" s="19"/>
      <c r="E47" s="19"/>
      <c r="F47" s="19"/>
      <c r="G47" s="19"/>
      <c r="H47" s="19"/>
      <c r="I47" s="19"/>
      <c r="J47" s="19"/>
      <c r="K47" s="19"/>
      <c r="L47" s="19"/>
      <c r="M47" s="19"/>
      <c r="N47" s="5"/>
      <c r="O47" s="5"/>
      <c r="P47" s="6"/>
    </row>
    <row r="48" customFormat="false" ht="13.95" hidden="false" customHeight="true" outlineLevel="0" collapsed="false">
      <c r="A48" s="4"/>
      <c r="B48" s="19"/>
      <c r="C48" s="19"/>
      <c r="D48" s="19"/>
      <c r="E48" s="19"/>
      <c r="F48" s="19"/>
      <c r="G48" s="19"/>
      <c r="H48" s="19"/>
      <c r="I48" s="19"/>
      <c r="J48" s="19"/>
      <c r="K48" s="19"/>
      <c r="L48" s="19"/>
      <c r="M48" s="19"/>
      <c r="N48" s="5"/>
      <c r="O48" s="5"/>
      <c r="P48" s="6"/>
    </row>
    <row r="49" customFormat="false" ht="13.95" hidden="false" customHeight="true" outlineLevel="0" collapsed="false">
      <c r="A49" s="4"/>
      <c r="B49" s="19"/>
      <c r="C49" s="19"/>
      <c r="D49" s="19"/>
      <c r="E49" s="19"/>
      <c r="F49" s="19"/>
      <c r="G49" s="19"/>
      <c r="H49" s="19"/>
      <c r="I49" s="19"/>
      <c r="J49" s="19"/>
      <c r="K49" s="19"/>
      <c r="L49" s="19"/>
      <c r="M49" s="19"/>
      <c r="N49" s="5"/>
      <c r="O49" s="5"/>
      <c r="P49" s="6"/>
    </row>
    <row r="50" customFormat="false" ht="13.95" hidden="false" customHeight="true" outlineLevel="0" collapsed="false">
      <c r="A50" s="4"/>
      <c r="B50" s="19"/>
      <c r="C50" s="19"/>
      <c r="D50" s="19"/>
      <c r="E50" s="19"/>
      <c r="F50" s="19"/>
      <c r="G50" s="19"/>
      <c r="H50" s="19"/>
      <c r="I50" s="19"/>
      <c r="J50" s="19"/>
      <c r="K50" s="19"/>
      <c r="L50" s="19"/>
      <c r="M50" s="19"/>
      <c r="N50" s="5"/>
      <c r="O50" s="5"/>
      <c r="P50" s="6"/>
    </row>
    <row r="51" customFormat="false" ht="13.95" hidden="false" customHeight="true" outlineLevel="0" collapsed="false">
      <c r="A51" s="4"/>
      <c r="B51" s="19"/>
      <c r="C51" s="19"/>
      <c r="D51" s="19"/>
      <c r="E51" s="19"/>
      <c r="F51" s="19"/>
      <c r="G51" s="19"/>
      <c r="H51" s="19"/>
      <c r="I51" s="19"/>
      <c r="J51" s="19"/>
      <c r="K51" s="19"/>
      <c r="L51" s="19"/>
      <c r="M51" s="19"/>
      <c r="N51" s="5"/>
      <c r="O51" s="5"/>
      <c r="P51" s="6"/>
    </row>
    <row r="52" customFormat="false" ht="13.95" hidden="false" customHeight="true" outlineLevel="0" collapsed="false">
      <c r="A52" s="4"/>
      <c r="B52" s="19"/>
      <c r="C52" s="19"/>
      <c r="D52" s="19"/>
      <c r="E52" s="19"/>
      <c r="F52" s="19"/>
      <c r="G52" s="19"/>
      <c r="H52" s="19"/>
      <c r="I52" s="19"/>
      <c r="J52" s="19"/>
      <c r="K52" s="19"/>
      <c r="L52" s="19"/>
      <c r="M52" s="19"/>
      <c r="N52" s="5"/>
      <c r="O52" s="5"/>
      <c r="P52" s="6"/>
    </row>
    <row r="53" customFormat="false" ht="13.95" hidden="false" customHeight="true" outlineLevel="0" collapsed="false">
      <c r="A53" s="4"/>
      <c r="B53" s="19"/>
      <c r="C53" s="19"/>
      <c r="D53" s="19"/>
      <c r="E53" s="19"/>
      <c r="F53" s="19"/>
      <c r="G53" s="19"/>
      <c r="H53" s="19"/>
      <c r="I53" s="19"/>
      <c r="J53" s="19"/>
      <c r="K53" s="19"/>
      <c r="L53" s="19"/>
      <c r="M53" s="19"/>
      <c r="N53" s="5"/>
      <c r="O53" s="5"/>
      <c r="P53" s="6"/>
    </row>
    <row r="54" customFormat="false" ht="13.95" hidden="false" customHeight="true" outlineLevel="0" collapsed="false">
      <c r="A54" s="4"/>
      <c r="B54" s="19"/>
      <c r="C54" s="19"/>
      <c r="D54" s="19"/>
      <c r="E54" s="19"/>
      <c r="F54" s="19"/>
      <c r="G54" s="19"/>
      <c r="H54" s="19"/>
      <c r="I54" s="19"/>
      <c r="J54" s="19"/>
      <c r="K54" s="19"/>
      <c r="L54" s="19"/>
      <c r="M54" s="19"/>
      <c r="N54" s="5"/>
      <c r="O54" s="5"/>
      <c r="P54" s="6"/>
    </row>
    <row r="55" customFormat="false" ht="13.95" hidden="false" customHeight="true" outlineLevel="0" collapsed="false">
      <c r="A55" s="4"/>
      <c r="B55" s="19"/>
      <c r="C55" s="19"/>
      <c r="D55" s="19"/>
      <c r="E55" s="19"/>
      <c r="F55" s="19"/>
      <c r="G55" s="19"/>
      <c r="H55" s="19"/>
      <c r="I55" s="19"/>
      <c r="J55" s="19"/>
      <c r="K55" s="19"/>
      <c r="L55" s="19"/>
      <c r="M55" s="19"/>
      <c r="N55" s="5"/>
      <c r="O55" s="5"/>
      <c r="P55" s="6"/>
    </row>
    <row r="56" customFormat="false" ht="13.95" hidden="false" customHeight="true" outlineLevel="0" collapsed="false">
      <c r="A56" s="4"/>
      <c r="B56" s="19"/>
      <c r="C56" s="19"/>
      <c r="D56" s="19"/>
      <c r="E56" s="19"/>
      <c r="F56" s="19"/>
      <c r="G56" s="19"/>
      <c r="H56" s="19"/>
      <c r="I56" s="19"/>
      <c r="J56" s="19"/>
      <c r="K56" s="19"/>
      <c r="L56" s="19"/>
      <c r="M56" s="19"/>
      <c r="N56" s="5"/>
      <c r="O56" s="5"/>
      <c r="P56" s="6"/>
    </row>
    <row r="57" customFormat="false" ht="13.95" hidden="false" customHeight="true" outlineLevel="0" collapsed="false">
      <c r="A57" s="4"/>
      <c r="B57" s="19"/>
      <c r="C57" s="19"/>
      <c r="D57" s="19"/>
      <c r="E57" s="19"/>
      <c r="F57" s="19"/>
      <c r="G57" s="19"/>
      <c r="H57" s="19"/>
      <c r="I57" s="19"/>
      <c r="J57" s="19"/>
      <c r="K57" s="19"/>
      <c r="L57" s="19"/>
      <c r="M57" s="19"/>
      <c r="N57" s="5"/>
      <c r="O57" s="5"/>
      <c r="P57" s="6"/>
    </row>
    <row r="58" customFormat="false" ht="13.95" hidden="false" customHeight="true" outlineLevel="0" collapsed="false">
      <c r="A58" s="4"/>
      <c r="B58" s="19"/>
      <c r="C58" s="19"/>
      <c r="D58" s="19"/>
      <c r="E58" s="19"/>
      <c r="F58" s="19"/>
      <c r="G58" s="19"/>
      <c r="H58" s="19"/>
      <c r="I58" s="19"/>
      <c r="J58" s="19"/>
      <c r="K58" s="19"/>
      <c r="L58" s="19"/>
      <c r="M58" s="19"/>
      <c r="N58" s="5"/>
      <c r="O58" s="5"/>
      <c r="P58" s="6"/>
    </row>
    <row r="59" customFormat="false" ht="13.95" hidden="false" customHeight="true" outlineLevel="0" collapsed="false">
      <c r="A59" s="4"/>
      <c r="B59" s="19"/>
      <c r="C59" s="19"/>
      <c r="D59" s="19"/>
      <c r="E59" s="19"/>
      <c r="F59" s="19"/>
      <c r="G59" s="19"/>
      <c r="H59" s="19"/>
      <c r="I59" s="19"/>
      <c r="J59" s="19"/>
      <c r="K59" s="19"/>
      <c r="L59" s="19"/>
      <c r="M59" s="19"/>
      <c r="N59" s="5"/>
      <c r="O59" s="5"/>
      <c r="P59" s="6"/>
    </row>
    <row r="60" customFormat="false" ht="13.95" hidden="false" customHeight="true" outlineLevel="0" collapsed="false">
      <c r="A60" s="4"/>
      <c r="B60" s="19"/>
      <c r="C60" s="19"/>
      <c r="D60" s="19"/>
      <c r="E60" s="19"/>
      <c r="F60" s="19"/>
      <c r="G60" s="19"/>
      <c r="H60" s="19"/>
      <c r="I60" s="19"/>
      <c r="J60" s="19"/>
      <c r="K60" s="19"/>
      <c r="L60" s="19"/>
      <c r="M60" s="19"/>
      <c r="N60" s="5"/>
      <c r="O60" s="5"/>
      <c r="P60" s="6"/>
    </row>
    <row r="61" customFormat="false" ht="13.95" hidden="false" customHeight="true" outlineLevel="0" collapsed="false">
      <c r="A61" s="4"/>
      <c r="B61" s="19"/>
      <c r="C61" s="19"/>
      <c r="D61" s="19"/>
      <c r="E61" s="19"/>
      <c r="F61" s="19"/>
      <c r="G61" s="19"/>
      <c r="H61" s="19"/>
      <c r="I61" s="19"/>
      <c r="J61" s="19"/>
      <c r="K61" s="19"/>
      <c r="L61" s="19"/>
      <c r="M61" s="19"/>
      <c r="N61" s="5"/>
      <c r="O61" s="5"/>
      <c r="P61" s="6"/>
    </row>
    <row r="62" customFormat="false" ht="13.2" hidden="false" customHeight="true" outlineLevel="0" collapsed="false">
      <c r="A62" s="4"/>
      <c r="B62" s="19"/>
      <c r="C62" s="19"/>
      <c r="D62" s="19"/>
      <c r="E62" s="19"/>
      <c r="F62" s="19"/>
      <c r="G62" s="19"/>
      <c r="H62" s="19"/>
      <c r="I62" s="19"/>
      <c r="J62" s="19"/>
      <c r="K62" s="19"/>
      <c r="L62" s="19"/>
      <c r="M62" s="19"/>
      <c r="N62" s="5"/>
      <c r="O62" s="5"/>
      <c r="P62" s="6"/>
    </row>
    <row r="63" customFormat="false" ht="13.2" hidden="false" customHeight="true" outlineLevel="0" collapsed="false">
      <c r="A63" s="4"/>
      <c r="B63" s="19"/>
      <c r="C63" s="19"/>
      <c r="D63" s="19"/>
      <c r="E63" s="19"/>
      <c r="F63" s="19"/>
      <c r="G63" s="19"/>
      <c r="H63" s="19"/>
      <c r="I63" s="19"/>
      <c r="J63" s="19"/>
      <c r="K63" s="19"/>
      <c r="L63" s="19"/>
      <c r="M63" s="19"/>
      <c r="N63" s="5"/>
      <c r="O63" s="5"/>
      <c r="P63" s="6"/>
    </row>
    <row r="64" customFormat="false" ht="13.2" hidden="false" customHeight="true" outlineLevel="0" collapsed="false">
      <c r="A64" s="4"/>
      <c r="B64" s="19"/>
      <c r="C64" s="19"/>
      <c r="D64" s="19"/>
      <c r="E64" s="19"/>
      <c r="F64" s="19"/>
      <c r="G64" s="19"/>
      <c r="H64" s="19"/>
      <c r="I64" s="19"/>
      <c r="J64" s="19"/>
      <c r="K64" s="19"/>
      <c r="L64" s="19"/>
      <c r="M64" s="19"/>
      <c r="N64" s="5"/>
      <c r="O64" s="5"/>
      <c r="P64" s="6"/>
    </row>
    <row r="65" customFormat="false" ht="13.2" hidden="false" customHeight="true" outlineLevel="0" collapsed="false">
      <c r="A65" s="4"/>
      <c r="B65" s="19"/>
      <c r="C65" s="19"/>
      <c r="D65" s="19"/>
      <c r="E65" s="19"/>
      <c r="F65" s="19"/>
      <c r="G65" s="19"/>
      <c r="H65" s="19"/>
      <c r="I65" s="19"/>
      <c r="J65" s="19"/>
      <c r="K65" s="19"/>
      <c r="L65" s="19"/>
      <c r="M65" s="19"/>
      <c r="N65" s="5"/>
      <c r="O65" s="5"/>
      <c r="P65" s="6"/>
    </row>
    <row r="66" customFormat="false" ht="13.2" hidden="false" customHeight="true" outlineLevel="0" collapsed="false">
      <c r="A66" s="4"/>
      <c r="B66" s="19"/>
      <c r="C66" s="19"/>
      <c r="D66" s="19"/>
      <c r="E66" s="19"/>
      <c r="F66" s="19"/>
      <c r="G66" s="19"/>
      <c r="H66" s="19"/>
      <c r="I66" s="19"/>
      <c r="J66" s="19"/>
      <c r="K66" s="19"/>
      <c r="L66" s="19"/>
      <c r="M66" s="19"/>
      <c r="N66" s="5"/>
      <c r="O66" s="5"/>
      <c r="P66" s="6"/>
    </row>
    <row r="67" customFormat="false" ht="13.2" hidden="false" customHeight="true" outlineLevel="0" collapsed="false">
      <c r="A67" s="4"/>
      <c r="B67" s="19"/>
      <c r="C67" s="19"/>
      <c r="D67" s="19"/>
      <c r="E67" s="19"/>
      <c r="F67" s="19"/>
      <c r="G67" s="19"/>
      <c r="H67" s="19"/>
      <c r="I67" s="19"/>
      <c r="J67" s="19"/>
      <c r="K67" s="19"/>
      <c r="L67" s="19"/>
      <c r="M67" s="19"/>
      <c r="N67" s="5"/>
      <c r="O67" s="5"/>
      <c r="P67" s="6"/>
    </row>
    <row r="68" customFormat="false" ht="13.2" hidden="false" customHeight="true" outlineLevel="0" collapsed="false">
      <c r="A68" s="4"/>
      <c r="B68" s="19"/>
      <c r="C68" s="19"/>
      <c r="D68" s="19"/>
      <c r="E68" s="19"/>
      <c r="F68" s="19"/>
      <c r="G68" s="19"/>
      <c r="H68" s="19"/>
      <c r="I68" s="19"/>
      <c r="J68" s="19"/>
      <c r="K68" s="19"/>
      <c r="L68" s="19"/>
      <c r="M68" s="19"/>
      <c r="N68" s="5"/>
      <c r="O68" s="5"/>
      <c r="P68" s="6"/>
    </row>
    <row r="69" customFormat="false" ht="13.2" hidden="false" customHeight="true" outlineLevel="0" collapsed="false">
      <c r="A69" s="4"/>
      <c r="B69" s="19"/>
      <c r="C69" s="19"/>
      <c r="D69" s="19"/>
      <c r="E69" s="19"/>
      <c r="F69" s="19"/>
      <c r="G69" s="19"/>
      <c r="H69" s="19"/>
      <c r="I69" s="19"/>
      <c r="J69" s="19"/>
      <c r="K69" s="19"/>
      <c r="L69" s="19"/>
      <c r="M69" s="19"/>
      <c r="N69" s="5"/>
      <c r="O69" s="5"/>
      <c r="P69" s="6"/>
    </row>
    <row r="70" customFormat="false" ht="13.2" hidden="false" customHeight="true" outlineLevel="0" collapsed="false">
      <c r="A70" s="4"/>
      <c r="B70" s="19"/>
      <c r="C70" s="19"/>
      <c r="D70" s="19"/>
      <c r="E70" s="19"/>
      <c r="F70" s="19"/>
      <c r="G70" s="19"/>
      <c r="H70" s="19"/>
      <c r="I70" s="19"/>
      <c r="J70" s="19"/>
      <c r="K70" s="19"/>
      <c r="L70" s="19"/>
      <c r="M70" s="19"/>
      <c r="N70" s="5"/>
      <c r="O70" s="5"/>
      <c r="P70" s="6"/>
    </row>
    <row r="71" customFormat="false" ht="13.2" hidden="false" customHeight="true" outlineLevel="0" collapsed="false">
      <c r="A71" s="4"/>
      <c r="B71" s="19"/>
      <c r="C71" s="19"/>
      <c r="D71" s="19"/>
      <c r="E71" s="19"/>
      <c r="F71" s="19"/>
      <c r="G71" s="19"/>
      <c r="H71" s="19"/>
      <c r="I71" s="19"/>
      <c r="J71" s="19"/>
      <c r="K71" s="19"/>
      <c r="L71" s="19"/>
      <c r="M71" s="19"/>
      <c r="N71" s="5"/>
      <c r="O71" s="5"/>
      <c r="P71" s="6"/>
    </row>
    <row r="72" customFormat="false" ht="13.2" hidden="false" customHeight="true" outlineLevel="0" collapsed="false">
      <c r="A72" s="4"/>
      <c r="B72" s="19"/>
      <c r="C72" s="19"/>
      <c r="D72" s="19"/>
      <c r="E72" s="19"/>
      <c r="F72" s="19"/>
      <c r="G72" s="19"/>
      <c r="H72" s="19"/>
      <c r="I72" s="19"/>
      <c r="J72" s="19"/>
      <c r="K72" s="19"/>
      <c r="L72" s="19"/>
      <c r="M72" s="19"/>
      <c r="N72" s="5"/>
      <c r="O72" s="5"/>
      <c r="P72" s="6"/>
    </row>
    <row r="73" customFormat="false" ht="13.2" hidden="false" customHeight="true" outlineLevel="0" collapsed="false">
      <c r="A73" s="4"/>
      <c r="B73" s="19"/>
      <c r="C73" s="19"/>
      <c r="D73" s="19"/>
      <c r="E73" s="19"/>
      <c r="F73" s="19"/>
      <c r="G73" s="19"/>
      <c r="H73" s="19"/>
      <c r="I73" s="19"/>
      <c r="J73" s="19"/>
      <c r="K73" s="19"/>
      <c r="L73" s="19"/>
      <c r="M73" s="19"/>
      <c r="N73" s="5"/>
      <c r="O73" s="5"/>
      <c r="P73" s="6"/>
    </row>
    <row r="74" customFormat="false" ht="13.2" hidden="false" customHeight="true" outlineLevel="0" collapsed="false">
      <c r="A74" s="4"/>
      <c r="B74" s="19"/>
      <c r="C74" s="19"/>
      <c r="D74" s="19"/>
      <c r="E74" s="19"/>
      <c r="F74" s="19"/>
      <c r="G74" s="19"/>
      <c r="H74" s="19"/>
      <c r="I74" s="19"/>
      <c r="J74" s="19"/>
      <c r="K74" s="19"/>
      <c r="L74" s="19"/>
      <c r="M74" s="19"/>
      <c r="N74" s="5"/>
      <c r="O74" s="5"/>
      <c r="P74" s="6"/>
    </row>
    <row r="75" customFormat="false" ht="13.2" hidden="false" customHeight="true" outlineLevel="0" collapsed="false">
      <c r="A75" s="4"/>
      <c r="B75" s="19"/>
      <c r="C75" s="19"/>
      <c r="D75" s="19"/>
      <c r="E75" s="19"/>
      <c r="F75" s="19"/>
      <c r="G75" s="19"/>
      <c r="H75" s="19"/>
      <c r="I75" s="19"/>
      <c r="J75" s="19"/>
      <c r="K75" s="19"/>
      <c r="L75" s="19"/>
      <c r="M75" s="19"/>
      <c r="N75" s="5"/>
      <c r="O75" s="5"/>
      <c r="P75" s="6"/>
    </row>
    <row r="76" customFormat="false" ht="13.2" hidden="false" customHeight="true" outlineLevel="0" collapsed="false">
      <c r="A76" s="4"/>
      <c r="B76" s="19"/>
      <c r="C76" s="19"/>
      <c r="D76" s="19"/>
      <c r="E76" s="19"/>
      <c r="F76" s="19"/>
      <c r="G76" s="19"/>
      <c r="H76" s="19"/>
      <c r="I76" s="19"/>
      <c r="J76" s="19"/>
      <c r="K76" s="19"/>
      <c r="L76" s="19"/>
      <c r="M76" s="19"/>
      <c r="N76" s="5"/>
      <c r="O76" s="5"/>
      <c r="P76" s="6"/>
    </row>
    <row r="77" customFormat="false" ht="13.2" hidden="false" customHeight="true" outlineLevel="0" collapsed="false">
      <c r="A77" s="4"/>
      <c r="B77" s="19"/>
      <c r="C77" s="19"/>
      <c r="D77" s="19"/>
      <c r="E77" s="19"/>
      <c r="F77" s="19"/>
      <c r="G77" s="19"/>
      <c r="H77" s="19"/>
      <c r="I77" s="19"/>
      <c r="J77" s="19"/>
      <c r="K77" s="19"/>
      <c r="L77" s="19"/>
      <c r="M77" s="19"/>
      <c r="N77" s="5"/>
      <c r="O77" s="5"/>
      <c r="P77" s="6"/>
    </row>
    <row r="78" customFormat="false" ht="13.2" hidden="false" customHeight="false" outlineLevel="0" collapsed="false">
      <c r="A78" s="4"/>
      <c r="B78" s="19"/>
      <c r="C78" s="19"/>
      <c r="D78" s="19"/>
      <c r="E78" s="19"/>
      <c r="F78" s="19"/>
      <c r="G78" s="19"/>
      <c r="H78" s="19"/>
      <c r="I78" s="19"/>
      <c r="J78" s="19"/>
      <c r="K78" s="19"/>
      <c r="L78" s="19"/>
      <c r="M78" s="19"/>
      <c r="N78" s="5"/>
      <c r="O78" s="5"/>
      <c r="P78" s="6"/>
    </row>
    <row r="79" customFormat="false" ht="13.2" hidden="false" customHeight="false" outlineLevel="0" collapsed="false">
      <c r="A79" s="4"/>
      <c r="B79" s="19"/>
      <c r="C79" s="19"/>
      <c r="D79" s="19"/>
      <c r="E79" s="19"/>
      <c r="F79" s="19"/>
      <c r="G79" s="19"/>
      <c r="H79" s="19"/>
      <c r="I79" s="19"/>
      <c r="J79" s="19"/>
      <c r="K79" s="19"/>
      <c r="L79" s="19"/>
      <c r="M79" s="19"/>
      <c r="N79" s="5"/>
      <c r="O79" s="5"/>
      <c r="P79" s="6"/>
    </row>
    <row r="80" customFormat="false" ht="13.2" hidden="false" customHeight="false" outlineLevel="0" collapsed="false">
      <c r="A80" s="4"/>
      <c r="B80" s="19"/>
      <c r="C80" s="19"/>
      <c r="D80" s="19"/>
      <c r="E80" s="19"/>
      <c r="F80" s="19"/>
      <c r="G80" s="19"/>
      <c r="H80" s="19"/>
      <c r="I80" s="19"/>
      <c r="J80" s="19"/>
      <c r="K80" s="19"/>
      <c r="L80" s="19"/>
      <c r="M80" s="19"/>
      <c r="N80" s="5"/>
      <c r="O80" s="5"/>
      <c r="P80" s="6"/>
    </row>
    <row r="81" customFormat="false" ht="13.2" hidden="false" customHeight="false" outlineLevel="0" collapsed="false">
      <c r="A81" s="4"/>
      <c r="B81" s="19"/>
      <c r="C81" s="19"/>
      <c r="D81" s="19"/>
      <c r="E81" s="19"/>
      <c r="F81" s="19"/>
      <c r="G81" s="19"/>
      <c r="H81" s="19"/>
      <c r="I81" s="19"/>
      <c r="J81" s="19"/>
      <c r="K81" s="19"/>
      <c r="L81" s="19"/>
      <c r="M81" s="19"/>
      <c r="N81" s="5"/>
      <c r="O81" s="5"/>
      <c r="P81" s="6"/>
    </row>
    <row r="82" customFormat="false" ht="13.2" hidden="false" customHeight="false" outlineLevel="0" collapsed="false">
      <c r="A82" s="4"/>
      <c r="B82" s="19"/>
      <c r="C82" s="19"/>
      <c r="D82" s="19"/>
      <c r="E82" s="19"/>
      <c r="F82" s="19"/>
      <c r="G82" s="19"/>
      <c r="H82" s="19"/>
      <c r="I82" s="19"/>
      <c r="J82" s="19"/>
      <c r="K82" s="19"/>
      <c r="L82" s="19"/>
      <c r="M82" s="19"/>
      <c r="N82" s="5"/>
      <c r="O82" s="5"/>
      <c r="P82" s="6"/>
    </row>
    <row r="83" customFormat="false" ht="13.2" hidden="false" customHeight="false" outlineLevel="0" collapsed="false">
      <c r="A83" s="4"/>
      <c r="B83" s="19"/>
      <c r="C83" s="19"/>
      <c r="D83" s="19"/>
      <c r="E83" s="19"/>
      <c r="F83" s="19"/>
      <c r="G83" s="19"/>
      <c r="H83" s="19"/>
      <c r="I83" s="19"/>
      <c r="J83" s="19"/>
      <c r="K83" s="19"/>
      <c r="L83" s="19"/>
      <c r="M83" s="19"/>
      <c r="N83" s="5"/>
      <c r="O83" s="5"/>
      <c r="P83" s="6"/>
    </row>
    <row r="84" customFormat="false" ht="13.2" hidden="false" customHeight="false" outlineLevel="0" collapsed="false">
      <c r="A84" s="4"/>
      <c r="B84" s="19"/>
      <c r="C84" s="19"/>
      <c r="D84" s="19"/>
      <c r="E84" s="19"/>
      <c r="F84" s="19"/>
      <c r="G84" s="19"/>
      <c r="H84" s="19"/>
      <c r="I84" s="19"/>
      <c r="J84" s="19"/>
      <c r="K84" s="19"/>
      <c r="L84" s="19"/>
      <c r="M84" s="19"/>
      <c r="N84" s="5"/>
      <c r="O84" s="5"/>
      <c r="P84" s="6"/>
    </row>
    <row r="85" customFormat="false" ht="13.2" hidden="false" customHeight="false" outlineLevel="0" collapsed="false">
      <c r="A85" s="4"/>
      <c r="B85" s="19"/>
      <c r="C85" s="19"/>
      <c r="D85" s="19"/>
      <c r="E85" s="19"/>
      <c r="F85" s="19"/>
      <c r="G85" s="19"/>
      <c r="H85" s="19"/>
      <c r="I85" s="19"/>
      <c r="J85" s="19"/>
      <c r="K85" s="19"/>
      <c r="L85" s="19"/>
      <c r="M85" s="19"/>
      <c r="N85" s="5"/>
      <c r="O85" s="5"/>
      <c r="P85" s="6"/>
    </row>
    <row r="86" customFormat="false" ht="13.2" hidden="false" customHeight="false" outlineLevel="0" collapsed="false">
      <c r="A86" s="4"/>
      <c r="B86" s="19"/>
      <c r="C86" s="19"/>
      <c r="D86" s="19"/>
      <c r="E86" s="19"/>
      <c r="F86" s="19"/>
      <c r="G86" s="19"/>
      <c r="H86" s="19"/>
      <c r="I86" s="19"/>
      <c r="J86" s="19"/>
      <c r="K86" s="19"/>
      <c r="L86" s="19"/>
      <c r="M86" s="19"/>
      <c r="N86" s="5"/>
      <c r="O86" s="5"/>
      <c r="P86" s="6"/>
    </row>
    <row r="87" customFormat="false" ht="13.2" hidden="false" customHeight="false" outlineLevel="0" collapsed="false">
      <c r="A87" s="4"/>
      <c r="B87" s="19"/>
      <c r="C87" s="19"/>
      <c r="D87" s="19"/>
      <c r="E87" s="19"/>
      <c r="F87" s="19"/>
      <c r="G87" s="19"/>
      <c r="H87" s="19"/>
      <c r="I87" s="19"/>
      <c r="J87" s="19"/>
      <c r="K87" s="19"/>
      <c r="L87" s="19"/>
      <c r="M87" s="19"/>
      <c r="N87" s="5"/>
      <c r="O87" s="5"/>
      <c r="P87" s="6"/>
    </row>
    <row r="88" customFormat="false" ht="13.2" hidden="false" customHeight="false" outlineLevel="0" collapsed="false">
      <c r="A88" s="4"/>
      <c r="B88" s="19"/>
      <c r="C88" s="19"/>
      <c r="D88" s="19"/>
      <c r="E88" s="19"/>
      <c r="F88" s="19"/>
      <c r="G88" s="19"/>
      <c r="H88" s="19"/>
      <c r="I88" s="19"/>
      <c r="J88" s="19"/>
      <c r="K88" s="19"/>
      <c r="L88" s="19"/>
      <c r="M88" s="19"/>
      <c r="N88" s="5"/>
      <c r="O88" s="5"/>
      <c r="P88" s="6"/>
    </row>
    <row r="89" customFormat="false" ht="13.2" hidden="false" customHeight="false" outlineLevel="0" collapsed="false">
      <c r="A89" s="4"/>
      <c r="B89" s="19"/>
      <c r="C89" s="19"/>
      <c r="D89" s="19"/>
      <c r="E89" s="19"/>
      <c r="F89" s="19"/>
      <c r="G89" s="19"/>
      <c r="H89" s="19"/>
      <c r="I89" s="19"/>
      <c r="J89" s="19"/>
      <c r="K89" s="19"/>
      <c r="L89" s="19"/>
      <c r="M89" s="19"/>
      <c r="N89" s="5"/>
      <c r="O89" s="5"/>
      <c r="P89" s="6"/>
    </row>
    <row r="90" customFormat="false" ht="13.2" hidden="false" customHeight="false" outlineLevel="0" collapsed="false">
      <c r="A90" s="4"/>
      <c r="B90" s="19"/>
      <c r="C90" s="19"/>
      <c r="D90" s="19"/>
      <c r="E90" s="19"/>
      <c r="F90" s="19"/>
      <c r="G90" s="19"/>
      <c r="H90" s="19"/>
      <c r="I90" s="19"/>
      <c r="J90" s="19"/>
      <c r="K90" s="19"/>
      <c r="L90" s="19"/>
      <c r="M90" s="19"/>
      <c r="N90" s="5"/>
      <c r="O90" s="5"/>
      <c r="P90" s="6"/>
    </row>
    <row r="91" customFormat="false" ht="13.2" hidden="false" customHeight="false" outlineLevel="0" collapsed="false">
      <c r="A91" s="4"/>
      <c r="B91" s="19"/>
      <c r="C91" s="19"/>
      <c r="D91" s="19"/>
      <c r="E91" s="19"/>
      <c r="F91" s="19"/>
      <c r="G91" s="19"/>
      <c r="H91" s="19"/>
      <c r="I91" s="19"/>
      <c r="J91" s="19"/>
      <c r="K91" s="19"/>
      <c r="L91" s="19"/>
      <c r="M91" s="19"/>
      <c r="N91" s="5"/>
      <c r="O91" s="5"/>
      <c r="P91" s="6"/>
    </row>
    <row r="92" customFormat="false" ht="13.2" hidden="false" customHeight="false" outlineLevel="0" collapsed="false">
      <c r="A92" s="4"/>
      <c r="B92" s="19"/>
      <c r="C92" s="19"/>
      <c r="D92" s="19"/>
      <c r="E92" s="19"/>
      <c r="F92" s="19"/>
      <c r="G92" s="19"/>
      <c r="H92" s="19"/>
      <c r="I92" s="19"/>
      <c r="J92" s="19"/>
      <c r="K92" s="19"/>
      <c r="L92" s="19"/>
      <c r="M92" s="19"/>
      <c r="N92" s="5"/>
      <c r="O92" s="5"/>
      <c r="P92" s="6"/>
    </row>
    <row r="93" customFormat="false" ht="13.2" hidden="false" customHeight="false" outlineLevel="0" collapsed="false">
      <c r="A93" s="4"/>
      <c r="B93" s="19"/>
      <c r="C93" s="19"/>
      <c r="D93" s="19"/>
      <c r="E93" s="19"/>
      <c r="F93" s="19"/>
      <c r="G93" s="19"/>
      <c r="H93" s="19"/>
      <c r="I93" s="19"/>
      <c r="J93" s="19"/>
      <c r="K93" s="19"/>
      <c r="L93" s="19"/>
      <c r="M93" s="19"/>
      <c r="N93" s="5"/>
      <c r="O93" s="5"/>
      <c r="P93" s="6"/>
    </row>
    <row r="94" customFormat="false" ht="13.2" hidden="false" customHeight="false" outlineLevel="0" collapsed="false">
      <c r="A94" s="4"/>
      <c r="B94" s="19"/>
      <c r="C94" s="19"/>
      <c r="D94" s="19"/>
      <c r="E94" s="19"/>
      <c r="F94" s="19"/>
      <c r="G94" s="19"/>
      <c r="H94" s="19"/>
      <c r="I94" s="19"/>
      <c r="J94" s="19"/>
      <c r="K94" s="19"/>
      <c r="L94" s="19"/>
      <c r="M94" s="19"/>
      <c r="N94" s="5"/>
      <c r="O94" s="5"/>
      <c r="P94" s="6"/>
    </row>
    <row r="95" customFormat="false" ht="13.2" hidden="false" customHeight="false" outlineLevel="0" collapsed="false">
      <c r="A95" s="4"/>
      <c r="B95" s="19"/>
      <c r="C95" s="19"/>
      <c r="D95" s="19"/>
      <c r="E95" s="19"/>
      <c r="F95" s="19"/>
      <c r="G95" s="19"/>
      <c r="H95" s="19"/>
      <c r="I95" s="19"/>
      <c r="J95" s="19"/>
      <c r="K95" s="19"/>
      <c r="L95" s="19"/>
      <c r="M95" s="19"/>
      <c r="N95" s="5"/>
      <c r="O95" s="5"/>
      <c r="P95" s="6"/>
    </row>
    <row r="96" customFormat="false" ht="13.2" hidden="false" customHeight="false" outlineLevel="0" collapsed="false">
      <c r="A96" s="4"/>
      <c r="B96" s="19"/>
      <c r="C96" s="19"/>
      <c r="D96" s="19"/>
      <c r="E96" s="19"/>
      <c r="F96" s="19"/>
      <c r="G96" s="19"/>
      <c r="H96" s="19"/>
      <c r="I96" s="19"/>
      <c r="J96" s="19"/>
      <c r="K96" s="19"/>
      <c r="L96" s="19"/>
      <c r="M96" s="19"/>
      <c r="N96" s="5"/>
      <c r="O96" s="5"/>
      <c r="P96" s="6"/>
    </row>
    <row r="97" customFormat="false" ht="13.2" hidden="false" customHeight="false" outlineLevel="0" collapsed="false">
      <c r="A97" s="4"/>
      <c r="B97" s="19"/>
      <c r="C97" s="19"/>
      <c r="D97" s="19"/>
      <c r="E97" s="19"/>
      <c r="F97" s="19"/>
      <c r="G97" s="19"/>
      <c r="H97" s="19"/>
      <c r="I97" s="19"/>
      <c r="J97" s="19"/>
      <c r="K97" s="19"/>
      <c r="L97" s="19"/>
      <c r="M97" s="19"/>
      <c r="N97" s="5"/>
      <c r="O97" s="5"/>
      <c r="P97" s="6"/>
    </row>
    <row r="98" customFormat="false" ht="13.8" hidden="false" customHeight="false" outlineLevel="0" collapsed="false">
      <c r="A98" s="4"/>
      <c r="B98" s="19"/>
      <c r="C98" s="19"/>
      <c r="D98" s="19"/>
      <c r="E98" s="19"/>
      <c r="F98" s="19"/>
      <c r="G98" s="19"/>
      <c r="H98" s="19"/>
      <c r="I98" s="19"/>
      <c r="J98" s="19"/>
      <c r="K98" s="19"/>
      <c r="L98" s="19"/>
      <c r="M98" s="19"/>
      <c r="N98" s="5"/>
      <c r="O98" s="5"/>
      <c r="P98" s="6"/>
    </row>
    <row r="99" customFormat="false" ht="13.2" hidden="false" customHeight="false" outlineLevel="0" collapsed="false">
      <c r="A99" s="4"/>
      <c r="B99" s="5"/>
      <c r="C99" s="5"/>
      <c r="D99" s="5"/>
      <c r="E99" s="5"/>
      <c r="F99" s="5"/>
      <c r="G99" s="5"/>
      <c r="H99" s="5"/>
      <c r="I99" s="5"/>
      <c r="J99" s="5"/>
      <c r="K99" s="5"/>
      <c r="L99" s="5"/>
      <c r="M99" s="5"/>
      <c r="N99" s="5"/>
      <c r="O99" s="5"/>
      <c r="P99" s="6"/>
    </row>
    <row r="100" customFormat="false" ht="13.2" hidden="false" customHeight="false" outlineLevel="0" collapsed="false">
      <c r="A100" s="4"/>
      <c r="B100" s="5"/>
      <c r="C100" s="5"/>
      <c r="D100" s="5"/>
      <c r="E100" s="5"/>
      <c r="F100" s="5"/>
      <c r="G100" s="5"/>
      <c r="H100" s="5"/>
      <c r="I100" s="5"/>
      <c r="J100" s="5"/>
      <c r="K100" s="5"/>
      <c r="L100" s="5"/>
      <c r="M100" s="5"/>
      <c r="N100" s="5"/>
      <c r="O100" s="5"/>
      <c r="P100" s="6"/>
    </row>
    <row r="101" customFormat="false" ht="13.8" hidden="false" customHeight="false" outlineLevel="0" collapsed="false">
      <c r="A101" s="20"/>
      <c r="B101" s="21"/>
      <c r="C101" s="21"/>
      <c r="D101" s="21"/>
      <c r="E101" s="21"/>
      <c r="F101" s="21"/>
      <c r="G101" s="21"/>
      <c r="H101" s="21"/>
      <c r="I101" s="21"/>
      <c r="J101" s="21"/>
      <c r="K101" s="21"/>
      <c r="L101" s="21"/>
      <c r="M101" s="21"/>
      <c r="N101" s="21"/>
      <c r="O101" s="21"/>
      <c r="P101" s="22"/>
    </row>
    <row r="102" customFormat="false" ht="13.8" hidden="false" customHeight="false" outlineLevel="0" collapsed="false"/>
  </sheetData>
  <mergeCells count="2">
    <mergeCell ref="B15:I15"/>
    <mergeCell ref="B36:M98"/>
  </mergeCells>
  <hyperlinks>
    <hyperlink ref="B14" r:id="rId1" display="Robust Hot Swap Design"/>
    <hyperlink ref="B15" r:id="rId2" display="LM5066I Datasheet (See &quot;Applications and Implementation&quot;)"/>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sheetPr filterMode="false">
    <pageSetUpPr fitToPage="false"/>
  </sheetPr>
  <dimension ref="A1:AU227"/>
  <sheetViews>
    <sheetView showFormulas="false" showGridLines="true" showRowColHeaders="true" showZeros="true" rightToLeft="false" tabSelected="true" showOutlineSymbols="true" defaultGridColor="true" view="normal" topLeftCell="A40" colorId="64" zoomScale="85" zoomScaleNormal="85" zoomScalePageLayoutView="100" workbookViewId="0">
      <selection pane="topLeft" activeCell="C85" activeCellId="0" sqref="C85"/>
    </sheetView>
  </sheetViews>
  <sheetFormatPr defaultRowHeight="13.2" zeroHeight="false" outlineLevelRow="0" outlineLevelCol="0"/>
  <cols>
    <col collapsed="false" customWidth="true" hidden="false" outlineLevel="0" max="1" min="1" style="0" width="0.56"/>
    <col collapsed="false" customWidth="true" hidden="false" outlineLevel="0" max="2" min="2" style="0" width="30.01"/>
    <col collapsed="false" customWidth="true" hidden="false" outlineLevel="0" max="3" min="3" style="0" width="15.22"/>
    <col collapsed="false" customWidth="true" hidden="false" outlineLevel="0" max="4" min="4" style="0" width="16.56"/>
    <col collapsed="false" customWidth="true" hidden="false" outlineLevel="0" max="5" min="5" style="0" width="20.78"/>
    <col collapsed="false" customWidth="true" hidden="false" outlineLevel="0" max="6" min="6" style="0" width="15.78"/>
    <col collapsed="false" customWidth="true" hidden="false" outlineLevel="0" max="7" min="7" style="23" width="5.55"/>
    <col collapsed="false" customWidth="true" hidden="false" outlineLevel="0" max="8" min="8" style="0" width="9.56"/>
    <col collapsed="false" customWidth="true" hidden="false" outlineLevel="0" max="9" min="9" style="0" width="12.78"/>
    <col collapsed="false" customWidth="true" hidden="false" outlineLevel="0" max="10" min="10" style="0" width="8.67"/>
    <col collapsed="false" customWidth="true" hidden="false" outlineLevel="0" max="11" min="11" style="0" width="10.22"/>
    <col collapsed="false" customWidth="true" hidden="false" outlineLevel="0" max="12" min="12" style="0" width="8.78"/>
    <col collapsed="false" customWidth="true" hidden="false" outlineLevel="0" max="13" min="13" style="0" width="9.78"/>
    <col collapsed="false" customWidth="false" hidden="true" outlineLevel="0" max="19" min="14" style="0" width="11.52"/>
    <col collapsed="false" customWidth="true" hidden="true" outlineLevel="0" max="20" min="20" style="0" width="2.77"/>
    <col collapsed="false" customWidth="true" hidden="true" outlineLevel="0" max="21" min="21" style="0" width="2.99"/>
    <col collapsed="false" customWidth="true" hidden="true" outlineLevel="0" max="22" min="22" style="0" width="1.21"/>
    <col collapsed="false" customWidth="true" hidden="true" outlineLevel="0" max="23" min="23" style="0" width="3.78"/>
    <col collapsed="false" customWidth="false" hidden="true" outlineLevel="0" max="38" min="24" style="0" width="11.52"/>
    <col collapsed="false" customWidth="true" hidden="false" outlineLevel="0" max="39" min="39" style="0" width="11.77"/>
    <col collapsed="false" customWidth="true" hidden="true" outlineLevel="0" max="40" min="40" style="0" width="14.22"/>
    <col collapsed="false" customWidth="true" hidden="true" outlineLevel="0" max="41" min="41" style="0" width="9.21"/>
    <col collapsed="false" customWidth="true" hidden="false" outlineLevel="0" max="42" min="42" style="0" width="12.22"/>
    <col collapsed="false" customWidth="true" hidden="false" outlineLevel="0" max="43" min="43" style="0" width="11.99"/>
    <col collapsed="false" customWidth="true" hidden="false" outlineLevel="0" max="44" min="44" style="0" width="13.44"/>
    <col collapsed="false" customWidth="true" hidden="false" outlineLevel="0" max="45" min="45" style="0" width="14.55"/>
    <col collapsed="false" customWidth="true" hidden="false" outlineLevel="0" max="46" min="46" style="0" width="14.78"/>
    <col collapsed="false" customWidth="true" hidden="true" outlineLevel="0" max="47" min="47" style="0" width="11.22"/>
    <col collapsed="false" customWidth="true" hidden="false" outlineLevel="0" max="48" min="48" style="0" width="13.01"/>
    <col collapsed="false" customWidth="true" hidden="false" outlineLevel="0" max="49" min="49" style="0" width="13.44"/>
    <col collapsed="false" customWidth="true" hidden="false" outlineLevel="0" max="50" min="50" style="0" width="14.78"/>
    <col collapsed="false" customWidth="true" hidden="false" outlineLevel="0" max="51" min="51" style="0" width="14.22"/>
    <col collapsed="false" customWidth="true" hidden="false" outlineLevel="0" max="52" min="52" style="0" width="12.78"/>
    <col collapsed="false" customWidth="true" hidden="false" outlineLevel="0" max="53" min="53" style="0" width="12.56"/>
    <col collapsed="false" customWidth="true" hidden="false" outlineLevel="0" max="54" min="54" style="0" width="9.78"/>
    <col collapsed="false" customWidth="true" hidden="false" outlineLevel="0" max="55" min="55" style="0" width="12.78"/>
    <col collapsed="false" customWidth="true" hidden="false" outlineLevel="0" max="57" min="56" style="0" width="13.78"/>
    <col collapsed="false" customWidth="true" hidden="false" outlineLevel="0" max="59" min="58" style="0" width="14.44"/>
    <col collapsed="false" customWidth="true" hidden="false" outlineLevel="0" max="60" min="60" style="0" width="15.44"/>
    <col collapsed="false" customWidth="true" hidden="false" outlineLevel="0" max="61" min="61" style="0" width="15.22"/>
    <col collapsed="false" customWidth="true" hidden="false" outlineLevel="0" max="62" min="62" style="0" width="15.78"/>
    <col collapsed="false" customWidth="true" hidden="false" outlineLevel="0" max="63" min="63" style="0" width="12.56"/>
    <col collapsed="false" customWidth="true" hidden="false" outlineLevel="0" max="64" min="64" style="0" width="16.78"/>
    <col collapsed="false" customWidth="true" hidden="false" outlineLevel="0" max="65" min="65" style="0" width="15.44"/>
    <col collapsed="false" customWidth="true" hidden="false" outlineLevel="0" max="66" min="66" style="0" width="14.55"/>
    <col collapsed="false" customWidth="true" hidden="false" outlineLevel="0" max="67" min="67" style="0" width="10"/>
    <col collapsed="false" customWidth="true" hidden="false" outlineLevel="0" max="68" min="68" style="0" width="6.22"/>
    <col collapsed="false" customWidth="true" hidden="false" outlineLevel="0" max="69" min="69" style="0" width="7.22"/>
    <col collapsed="false" customWidth="true" hidden="false" outlineLevel="0" max="70" min="70" style="0" width="8.21"/>
    <col collapsed="false" customWidth="true" hidden="false" outlineLevel="0" max="71" min="71" style="0" width="4.78"/>
    <col collapsed="false" customWidth="true" hidden="false" outlineLevel="0" max="1025" min="72" style="0" width="8.67"/>
  </cols>
  <sheetData>
    <row r="1" s="29" customFormat="true" ht="60.75" hidden="false" customHeight="true" outlineLevel="0" collapsed="false">
      <c r="A1" s="24" t="s">
        <v>21</v>
      </c>
      <c r="B1" s="24"/>
      <c r="C1" s="24"/>
      <c r="D1" s="24"/>
      <c r="E1" s="24"/>
      <c r="F1" s="24"/>
      <c r="G1" s="24"/>
      <c r="H1" s="24"/>
      <c r="I1" s="24"/>
      <c r="J1" s="24"/>
      <c r="K1" s="24"/>
      <c r="L1" s="24"/>
      <c r="M1" s="24"/>
      <c r="N1" s="25"/>
      <c r="O1" s="25"/>
      <c r="P1" s="25"/>
      <c r="Q1" s="25"/>
      <c r="R1" s="26"/>
      <c r="S1" s="27"/>
      <c r="T1" s="28"/>
      <c r="U1" s="28"/>
      <c r="V1" s="28"/>
      <c r="W1" s="28"/>
      <c r="X1" s="28"/>
      <c r="Y1" s="28"/>
      <c r="Z1" s="28"/>
      <c r="AA1" s="28"/>
      <c r="AB1" s="28"/>
      <c r="AC1" s="28"/>
      <c r="AD1" s="28"/>
      <c r="AE1" s="28"/>
      <c r="AF1" s="28"/>
      <c r="AG1" s="28"/>
      <c r="AH1" s="28"/>
      <c r="AI1" s="28"/>
      <c r="AJ1" s="28"/>
      <c r="AK1" s="28"/>
      <c r="AL1" s="28"/>
      <c r="AM1" s="28"/>
    </row>
    <row r="2" customFormat="false" ht="15.6" hidden="false" customHeight="false" outlineLevel="0" collapsed="false">
      <c r="A2" s="30"/>
      <c r="B2" s="31" t="s">
        <v>22</v>
      </c>
      <c r="C2" s="30"/>
      <c r="D2" s="30"/>
      <c r="E2" s="30"/>
      <c r="F2" s="32"/>
      <c r="G2" s="32"/>
      <c r="H2" s="30"/>
      <c r="I2" s="30"/>
      <c r="J2" s="30"/>
      <c r="K2" s="30"/>
      <c r="L2" s="33"/>
      <c r="M2" s="33"/>
      <c r="N2" s="30"/>
      <c r="O2" s="30"/>
      <c r="P2" s="30"/>
      <c r="Q2" s="30"/>
      <c r="R2" s="30"/>
      <c r="S2" s="30"/>
      <c r="T2" s="30"/>
      <c r="U2" s="30"/>
      <c r="V2" s="30"/>
      <c r="W2" s="30"/>
      <c r="X2" s="30"/>
      <c r="Y2" s="30"/>
      <c r="Z2" s="30"/>
      <c r="AA2" s="30"/>
      <c r="AB2" s="30"/>
      <c r="AC2" s="30"/>
      <c r="AD2" s="30"/>
      <c r="AE2" s="30"/>
      <c r="AF2" s="30"/>
      <c r="AG2" s="30"/>
      <c r="AH2" s="30"/>
      <c r="AI2" s="30"/>
      <c r="AJ2" s="30"/>
      <c r="AK2" s="30"/>
      <c r="AL2" s="30"/>
      <c r="AM2" s="30"/>
    </row>
    <row r="3" customFormat="false" ht="13.2" hidden="false" customHeight="false" outlineLevel="0" collapsed="false">
      <c r="A3" s="30"/>
      <c r="B3" s="30"/>
      <c r="C3" s="30"/>
      <c r="D3" s="30"/>
      <c r="E3" s="30"/>
      <c r="F3" s="30"/>
      <c r="G3" s="32"/>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row>
    <row r="4" customFormat="false" ht="13.2" hidden="false" customHeight="false" outlineLevel="0" collapsed="false">
      <c r="A4" s="30"/>
      <c r="B4" s="30"/>
      <c r="C4" s="30"/>
      <c r="D4" s="30"/>
      <c r="E4" s="30"/>
      <c r="F4" s="30"/>
      <c r="G4" s="32"/>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row>
    <row r="5" customFormat="false" ht="13.2" hidden="false" customHeight="false" outlineLevel="0" collapsed="false">
      <c r="A5" s="30"/>
      <c r="B5" s="30"/>
      <c r="C5" s="30"/>
      <c r="D5" s="30"/>
      <c r="E5" s="30"/>
      <c r="F5" s="30"/>
      <c r="G5" s="32"/>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row>
    <row r="6" customFormat="false" ht="13.2" hidden="false" customHeight="false" outlineLevel="0" collapsed="false">
      <c r="A6" s="30"/>
      <c r="B6" s="30"/>
      <c r="C6" s="30"/>
      <c r="D6" s="30"/>
      <c r="E6" s="30"/>
      <c r="F6" s="30"/>
      <c r="G6" s="32"/>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row>
    <row r="7" customFormat="false" ht="16.5" hidden="false" customHeight="true" outlineLevel="0" collapsed="false">
      <c r="A7" s="30"/>
      <c r="B7" s="30"/>
      <c r="C7" s="30"/>
      <c r="D7" s="30"/>
      <c r="E7" s="30"/>
      <c r="F7" s="30"/>
      <c r="G7" s="32"/>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row>
    <row r="8" customFormat="false" ht="13.2" hidden="false" customHeight="false" outlineLevel="0" collapsed="false">
      <c r="A8" s="30"/>
      <c r="B8" s="30"/>
      <c r="C8" s="30"/>
      <c r="D8" s="30"/>
      <c r="E8" s="30"/>
      <c r="F8" s="30"/>
      <c r="G8" s="32"/>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row>
    <row r="9" customFormat="false" ht="15" hidden="false" customHeight="true" outlineLevel="0" collapsed="false">
      <c r="A9" s="30"/>
      <c r="B9" s="34"/>
      <c r="C9" s="35"/>
      <c r="D9" s="36" t="s">
        <v>23</v>
      </c>
      <c r="E9" s="37"/>
      <c r="F9" s="30"/>
      <c r="G9" s="32"/>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row>
    <row r="10" customFormat="false" ht="15" hidden="false" customHeight="true" outlineLevel="0" collapsed="false">
      <c r="A10" s="30"/>
      <c r="B10" s="38"/>
      <c r="C10" s="39"/>
      <c r="D10" s="30" t="s">
        <v>24</v>
      </c>
      <c r="E10" s="40"/>
      <c r="F10" s="30"/>
      <c r="G10" s="32"/>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row>
    <row r="11" customFormat="false" ht="22.95" hidden="false" customHeight="true" outlineLevel="0" collapsed="false">
      <c r="A11" s="30"/>
      <c r="B11" s="38"/>
      <c r="C11" s="41"/>
      <c r="D11" s="42" t="s">
        <v>25</v>
      </c>
      <c r="E11" s="42"/>
      <c r="F11" s="30"/>
      <c r="G11" s="32"/>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row>
    <row r="12" customFormat="false" ht="18" hidden="false" customHeight="true" outlineLevel="0" collapsed="false">
      <c r="A12" s="30"/>
      <c r="B12" s="38"/>
      <c r="C12" s="43"/>
      <c r="D12" s="42"/>
      <c r="E12" s="42"/>
      <c r="F12" s="30"/>
      <c r="G12" s="32"/>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row>
    <row r="13" customFormat="false" ht="18" hidden="false" customHeight="true" outlineLevel="0" collapsed="false">
      <c r="A13" s="30"/>
      <c r="B13" s="38"/>
      <c r="C13" s="44"/>
      <c r="D13" s="45"/>
      <c r="E13" s="46"/>
      <c r="F13" s="30"/>
      <c r="G13" s="32"/>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row>
    <row r="14" customFormat="false" ht="18" hidden="false" customHeight="true" outlineLevel="0" collapsed="false">
      <c r="A14" s="30"/>
      <c r="B14" s="47" t="s">
        <v>26</v>
      </c>
      <c r="C14" s="48"/>
      <c r="D14" s="49" t="s">
        <v>27</v>
      </c>
      <c r="E14" s="49"/>
      <c r="F14" s="49"/>
      <c r="G14" s="49"/>
      <c r="H14" s="50"/>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2"/>
      <c r="AU14" s="53" t="s">
        <v>28</v>
      </c>
    </row>
    <row r="15" customFormat="false" ht="18" hidden="false" customHeight="true" outlineLevel="0" collapsed="false">
      <c r="A15" s="30"/>
      <c r="B15" s="54"/>
      <c r="C15" s="55"/>
      <c r="D15" s="49"/>
      <c r="E15" s="49"/>
      <c r="F15" s="49"/>
      <c r="G15" s="49"/>
      <c r="H15" s="56"/>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8"/>
      <c r="AU15" s="53" t="s">
        <v>29</v>
      </c>
    </row>
    <row r="16" customFormat="false" ht="15" hidden="false" customHeight="false" outlineLevel="0" collapsed="false">
      <c r="A16" s="30"/>
      <c r="B16" s="59"/>
      <c r="C16" s="55"/>
      <c r="D16" s="60" t="s">
        <v>30</v>
      </c>
      <c r="E16" s="60"/>
      <c r="F16" s="60"/>
      <c r="G16" s="60"/>
      <c r="H16" s="60"/>
      <c r="I16" s="60"/>
      <c r="J16" s="60"/>
      <c r="K16" s="61"/>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8"/>
    </row>
    <row r="17" customFormat="false" ht="15" hidden="false" customHeight="false" outlineLevel="0" collapsed="false">
      <c r="A17" s="30"/>
      <c r="B17" s="59"/>
      <c r="C17" s="55"/>
      <c r="D17" s="60" t="s">
        <v>31</v>
      </c>
      <c r="E17" s="60"/>
      <c r="F17" s="60"/>
      <c r="G17" s="60"/>
      <c r="H17" s="60"/>
      <c r="I17" s="60"/>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8"/>
    </row>
    <row r="18" customFormat="false" ht="15" hidden="false" customHeight="false" outlineLevel="0" collapsed="false">
      <c r="A18" s="30"/>
      <c r="B18" s="59"/>
      <c r="C18" s="55"/>
      <c r="D18" s="60" t="s">
        <v>32</v>
      </c>
      <c r="E18" s="60"/>
      <c r="F18" s="60"/>
      <c r="G18" s="60"/>
      <c r="H18" s="60"/>
      <c r="I18" s="60"/>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8"/>
    </row>
    <row r="19" customFormat="false" ht="15" hidden="false" customHeight="false" outlineLevel="0" collapsed="false">
      <c r="A19" s="30"/>
      <c r="B19" s="59"/>
      <c r="C19" s="55"/>
      <c r="D19" s="60" t="s">
        <v>33</v>
      </c>
      <c r="E19" s="60"/>
      <c r="F19" s="60"/>
      <c r="G19" s="60"/>
      <c r="H19" s="60"/>
      <c r="I19" s="60"/>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8"/>
    </row>
    <row r="20" customFormat="false" ht="15" hidden="false" customHeight="false" outlineLevel="0" collapsed="false">
      <c r="A20" s="30"/>
      <c r="B20" s="62"/>
      <c r="C20" s="55"/>
      <c r="D20" s="63" t="s">
        <v>34</v>
      </c>
      <c r="E20" s="64"/>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8"/>
    </row>
    <row r="21" customFormat="false" ht="18" hidden="false" customHeight="true" outlineLevel="0" collapsed="false">
      <c r="A21" s="30"/>
      <c r="B21" s="65"/>
      <c r="C21" s="57"/>
      <c r="D21" s="57"/>
      <c r="E21" s="66"/>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8"/>
    </row>
    <row r="22" customFormat="false" ht="29.55" hidden="false" customHeight="true" outlineLevel="0" collapsed="false">
      <c r="A22" s="30"/>
      <c r="B22" s="65"/>
      <c r="C22" s="57"/>
      <c r="D22" s="67" t="s">
        <v>35</v>
      </c>
      <c r="E22" s="67"/>
      <c r="F22" s="67"/>
      <c r="G22" s="68" t="s">
        <v>28</v>
      </c>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8"/>
    </row>
    <row r="23" customFormat="false" ht="27" hidden="false" customHeight="true" outlineLevel="0" collapsed="false">
      <c r="A23" s="30"/>
      <c r="B23" s="65"/>
      <c r="C23" s="57"/>
      <c r="D23" s="69" t="s">
        <v>36</v>
      </c>
      <c r="E23" s="69"/>
      <c r="F23" s="69"/>
      <c r="G23" s="70" t="s">
        <v>28</v>
      </c>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8"/>
    </row>
    <row r="24" customFormat="false" ht="9" hidden="false" customHeight="true" outlineLevel="0" collapsed="false">
      <c r="A24" s="30"/>
      <c r="B24" s="65"/>
      <c r="C24" s="57"/>
      <c r="D24" s="71" t="s">
        <v>37</v>
      </c>
      <c r="E24" s="71"/>
      <c r="F24" s="71"/>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8"/>
    </row>
    <row r="25" customFormat="false" ht="18" hidden="false" customHeight="true" outlineLevel="0" collapsed="false">
      <c r="A25" s="30"/>
      <c r="B25" s="65"/>
      <c r="C25" s="57"/>
      <c r="D25" s="71"/>
      <c r="E25" s="71"/>
      <c r="F25" s="71"/>
      <c r="G25" s="72"/>
      <c r="H25" s="57"/>
      <c r="I25" s="57"/>
      <c r="J25" s="61"/>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8"/>
    </row>
    <row r="26" customFormat="false" ht="15" hidden="false" customHeight="true" outlineLevel="0" collapsed="false">
      <c r="A26" s="30"/>
      <c r="B26" s="73"/>
      <c r="C26" s="74"/>
      <c r="D26" s="75"/>
      <c r="E26" s="75"/>
      <c r="F26" s="75"/>
      <c r="G26" s="76"/>
      <c r="H26" s="74"/>
      <c r="I26" s="74"/>
      <c r="J26" s="77"/>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8"/>
    </row>
    <row r="27" customFormat="false" ht="15" hidden="false" customHeight="true" outlineLevel="0" collapsed="false">
      <c r="A27" s="30"/>
      <c r="B27" s="79" t="s">
        <v>38</v>
      </c>
      <c r="C27" s="80"/>
      <c r="D27" s="80"/>
      <c r="E27" s="81" t="s">
        <v>39</v>
      </c>
      <c r="F27" s="82" t="n">
        <v>10</v>
      </c>
      <c r="G27" s="83" t="s">
        <v>40</v>
      </c>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4"/>
    </row>
    <row r="28" customFormat="false" ht="15" hidden="false" customHeight="true" outlineLevel="0" collapsed="false">
      <c r="A28" s="30"/>
      <c r="B28" s="85"/>
      <c r="C28" s="86"/>
      <c r="D28" s="86"/>
      <c r="E28" s="87" t="s">
        <v>41</v>
      </c>
      <c r="F28" s="88" t="n">
        <v>48</v>
      </c>
      <c r="G28" s="89" t="s">
        <v>40</v>
      </c>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90"/>
    </row>
    <row r="29" customFormat="false" ht="15" hidden="false" customHeight="true" outlineLevel="0" collapsed="false">
      <c r="A29" s="30"/>
      <c r="B29" s="91"/>
      <c r="C29" s="86"/>
      <c r="D29" s="86"/>
      <c r="E29" s="87" t="s">
        <v>42</v>
      </c>
      <c r="F29" s="88" t="n">
        <v>50</v>
      </c>
      <c r="G29" s="89" t="s">
        <v>40</v>
      </c>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90"/>
    </row>
    <row r="30" customFormat="false" ht="15" hidden="false" customHeight="true" outlineLevel="0" collapsed="false">
      <c r="A30" s="30"/>
      <c r="B30" s="91"/>
      <c r="C30" s="86"/>
      <c r="D30" s="86"/>
      <c r="E30" s="87" t="s">
        <v>43</v>
      </c>
      <c r="F30" s="88" t="n">
        <v>78</v>
      </c>
      <c r="G30" s="89" t="s">
        <v>44</v>
      </c>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90"/>
    </row>
    <row r="31" customFormat="false" ht="15" hidden="false" customHeight="true" outlineLevel="0" collapsed="false">
      <c r="A31" s="30"/>
      <c r="B31" s="91"/>
      <c r="C31" s="86"/>
      <c r="D31" s="86"/>
      <c r="E31" s="87" t="s">
        <v>45</v>
      </c>
      <c r="F31" s="88" t="n">
        <v>4000</v>
      </c>
      <c r="G31" s="92" t="s">
        <v>46</v>
      </c>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90"/>
    </row>
    <row r="32" customFormat="false" ht="15" hidden="false" customHeight="true" outlineLevel="0" collapsed="false">
      <c r="A32" s="30"/>
      <c r="B32" s="91"/>
      <c r="C32" s="86"/>
      <c r="D32" s="86"/>
      <c r="E32" s="87" t="s">
        <v>47</v>
      </c>
      <c r="F32" s="93" t="n">
        <v>85</v>
      </c>
      <c r="G32" s="94" t="s">
        <v>48</v>
      </c>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90"/>
    </row>
    <row r="33" customFormat="false" ht="15" hidden="false" customHeight="true" outlineLevel="0" collapsed="false">
      <c r="A33" s="30"/>
      <c r="B33" s="95" t="s">
        <v>49</v>
      </c>
      <c r="C33" s="86"/>
      <c r="D33" s="86"/>
      <c r="E33" s="87"/>
      <c r="F33" s="96"/>
      <c r="G33" s="89"/>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90"/>
    </row>
    <row r="34" customFormat="false" ht="15" hidden="false" customHeight="true" outlineLevel="0" collapsed="false">
      <c r="A34" s="30"/>
      <c r="B34" s="95"/>
      <c r="C34" s="86"/>
      <c r="D34" s="86"/>
      <c r="E34" s="87"/>
      <c r="F34" s="96"/>
      <c r="G34" s="89"/>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90"/>
    </row>
    <row r="35" customFormat="false" ht="15" hidden="false" customHeight="true" outlineLevel="0" collapsed="false">
      <c r="A35" s="30"/>
      <c r="B35" s="91"/>
      <c r="C35" s="86"/>
      <c r="D35" s="86"/>
      <c r="E35" s="87"/>
      <c r="F35" s="96"/>
      <c r="G35" s="89"/>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90"/>
    </row>
    <row r="36" customFormat="false" ht="15" hidden="false" customHeight="true" outlineLevel="0" collapsed="false">
      <c r="A36" s="30"/>
      <c r="B36" s="91"/>
      <c r="C36" s="86"/>
      <c r="D36" s="86"/>
      <c r="E36" s="87"/>
      <c r="F36" s="96"/>
      <c r="G36" s="89"/>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90"/>
    </row>
    <row r="37" customFormat="false" ht="15" hidden="false" customHeight="true" outlineLevel="0" collapsed="false">
      <c r="A37" s="30"/>
      <c r="B37" s="97"/>
      <c r="C37" s="98"/>
      <c r="D37" s="98"/>
      <c r="E37" s="99"/>
      <c r="F37" s="100"/>
      <c r="G37" s="101"/>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102"/>
    </row>
    <row r="38" customFormat="false" ht="15" hidden="false" customHeight="true" outlineLevel="0" collapsed="false">
      <c r="A38" s="30"/>
      <c r="B38" s="79" t="s">
        <v>50</v>
      </c>
      <c r="C38" s="103"/>
      <c r="D38" s="80"/>
      <c r="E38" s="81" t="s">
        <v>51</v>
      </c>
      <c r="F38" s="104" t="s">
        <v>52</v>
      </c>
      <c r="G38" s="105"/>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4"/>
      <c r="AN38" s="53" t="s">
        <v>52</v>
      </c>
    </row>
    <row r="39" customFormat="false" ht="15" hidden="false" customHeight="true" outlineLevel="0" collapsed="false">
      <c r="A39" s="30"/>
      <c r="B39" s="106"/>
      <c r="C39" s="86"/>
      <c r="D39" s="86"/>
      <c r="E39" s="87" t="s">
        <v>53</v>
      </c>
      <c r="F39" s="107" t="n">
        <f aca="false">Equations!F9</f>
        <v>0.297029702970297</v>
      </c>
      <c r="G39" s="89" t="s">
        <v>54</v>
      </c>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90"/>
      <c r="AN39" s="53" t="s">
        <v>55</v>
      </c>
    </row>
    <row r="40" customFormat="false" ht="15" hidden="false" customHeight="true" outlineLevel="0" collapsed="false">
      <c r="A40" s="30"/>
      <c r="B40" s="91"/>
      <c r="C40" s="86"/>
      <c r="D40" s="86"/>
      <c r="E40" s="87" t="s">
        <v>56</v>
      </c>
      <c r="F40" s="108" t="s">
        <v>29</v>
      </c>
      <c r="G40" s="89"/>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90"/>
      <c r="AN40" s="53" t="s">
        <v>28</v>
      </c>
    </row>
    <row r="41" customFormat="false" ht="15" hidden="false" customHeight="true" outlineLevel="0" collapsed="false">
      <c r="A41" s="30"/>
      <c r="B41" s="91"/>
      <c r="C41" s="86"/>
      <c r="D41" s="86"/>
      <c r="E41" s="87" t="s">
        <v>57</v>
      </c>
      <c r="F41" s="88" t="n">
        <v>0.3</v>
      </c>
      <c r="G41" s="89" t="s">
        <v>54</v>
      </c>
      <c r="H41" s="109"/>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90"/>
      <c r="AN41" s="53" t="s">
        <v>29</v>
      </c>
    </row>
    <row r="42" customFormat="false" ht="15" hidden="false" customHeight="true" outlineLevel="0" collapsed="false">
      <c r="A42" s="30"/>
      <c r="B42" s="91"/>
      <c r="C42" s="86"/>
      <c r="D42" s="86"/>
      <c r="E42" s="87" t="s">
        <v>58</v>
      </c>
      <c r="F42" s="110" t="n">
        <f aca="false">Equations!F10</f>
        <v>10</v>
      </c>
      <c r="G42" s="111" t="s">
        <v>59</v>
      </c>
      <c r="H42" s="112"/>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90"/>
    </row>
    <row r="43" customFormat="false" ht="15" hidden="false" customHeight="true" outlineLevel="0" collapsed="false">
      <c r="A43" s="30"/>
      <c r="B43" s="91"/>
      <c r="C43" s="86"/>
      <c r="D43" s="86"/>
      <c r="E43" s="87" t="s">
        <v>60</v>
      </c>
      <c r="F43" s="113" t="n">
        <f aca="false">Equations!F11</f>
        <v>0</v>
      </c>
      <c r="G43" s="111" t="s">
        <v>59</v>
      </c>
      <c r="H43" s="112"/>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90"/>
    </row>
    <row r="44" customFormat="false" ht="15" hidden="false" customHeight="true" outlineLevel="0" collapsed="false">
      <c r="A44" s="30"/>
      <c r="B44" s="91"/>
      <c r="C44" s="86"/>
      <c r="D44" s="86"/>
      <c r="E44" s="87" t="s">
        <v>61</v>
      </c>
      <c r="F44" s="108" t="n">
        <v>10</v>
      </c>
      <c r="G44" s="111" t="s">
        <v>59</v>
      </c>
      <c r="H44" s="112"/>
      <c r="I44" s="86"/>
      <c r="J44" s="109"/>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90"/>
      <c r="AN44" s="0" t="n">
        <f aca="false">AND(F40="No")</f>
        <v>1</v>
      </c>
    </row>
    <row r="45" customFormat="false" ht="15" hidden="false" customHeight="true" outlineLevel="0" collapsed="false">
      <c r="A45" s="30"/>
      <c r="B45" s="114" t="s">
        <v>49</v>
      </c>
      <c r="C45" s="86"/>
      <c r="D45" s="86"/>
      <c r="E45" s="87" t="s">
        <v>62</v>
      </c>
      <c r="F45" s="108" t="n">
        <v>3.04</v>
      </c>
      <c r="G45" s="111" t="s">
        <v>59</v>
      </c>
      <c r="H45" s="112"/>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90"/>
    </row>
    <row r="46" customFormat="false" ht="15" hidden="false" customHeight="true" outlineLevel="0" collapsed="false">
      <c r="A46" s="30"/>
      <c r="B46" s="114"/>
      <c r="C46" s="86"/>
      <c r="D46" s="86"/>
      <c r="E46" s="87" t="s">
        <v>63</v>
      </c>
      <c r="F46" s="113" t="n">
        <f aca="false">RsEFF</f>
        <v>0.3</v>
      </c>
      <c r="G46" s="89" t="s">
        <v>54</v>
      </c>
      <c r="H46" s="112"/>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90"/>
    </row>
    <row r="47" customFormat="false" ht="15" hidden="false" customHeight="true" outlineLevel="0" collapsed="false">
      <c r="A47" s="30"/>
      <c r="B47" s="114"/>
      <c r="C47" s="86"/>
      <c r="D47" s="115"/>
      <c r="E47" s="116" t="s">
        <v>64</v>
      </c>
      <c r="F47" s="117" t="n">
        <f aca="false">CLMIN</f>
        <v>78</v>
      </c>
      <c r="G47" s="89" t="s">
        <v>44</v>
      </c>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90"/>
    </row>
    <row r="48" customFormat="false" ht="15" hidden="false" customHeight="true" outlineLevel="0" collapsed="false">
      <c r="A48" s="30"/>
      <c r="B48" s="91"/>
      <c r="C48" s="86"/>
      <c r="D48" s="118"/>
      <c r="E48" s="119" t="s">
        <v>65</v>
      </c>
      <c r="F48" s="117" t="n">
        <f aca="false">CLNOM</f>
        <v>86.6666666666667</v>
      </c>
      <c r="G48" s="89" t="s">
        <v>44</v>
      </c>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90"/>
    </row>
    <row r="49" customFormat="false" ht="15" hidden="false" customHeight="true" outlineLevel="0" collapsed="false">
      <c r="A49" s="30"/>
      <c r="B49" s="91"/>
      <c r="C49" s="86"/>
      <c r="D49" s="120"/>
      <c r="E49" s="121" t="s">
        <v>66</v>
      </c>
      <c r="F49" s="117" t="n">
        <f aca="false">CLMAX</f>
        <v>95.3333333333333</v>
      </c>
      <c r="G49" s="89" t="s">
        <v>44</v>
      </c>
      <c r="H49" s="86"/>
      <c r="I49" s="122"/>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90"/>
      <c r="AN49" s="53" t="s">
        <v>67</v>
      </c>
    </row>
    <row r="50" customFormat="false" ht="15" hidden="false" customHeight="true" outlineLevel="0" collapsed="false">
      <c r="A50" s="30"/>
      <c r="B50" s="91"/>
      <c r="C50" s="86"/>
      <c r="D50" s="86"/>
      <c r="E50" s="87" t="s">
        <v>68</v>
      </c>
      <c r="F50" s="123" t="n">
        <f aca="false">Equations!F16/1000</f>
        <v>2.72653333333333</v>
      </c>
      <c r="G50" s="89" t="s">
        <v>59</v>
      </c>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90"/>
      <c r="AN50" s="53" t="s">
        <v>69</v>
      </c>
    </row>
    <row r="51" customFormat="false" ht="15" hidden="false" customHeight="true" outlineLevel="0" collapsed="false">
      <c r="A51" s="30"/>
      <c r="B51" s="91"/>
      <c r="C51" s="86"/>
      <c r="D51" s="86"/>
      <c r="E51" s="87" t="s">
        <v>70</v>
      </c>
      <c r="F51" s="124" t="s">
        <v>67</v>
      </c>
      <c r="G51" s="89"/>
      <c r="H51" s="109"/>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90"/>
      <c r="AN51" s="53" t="s">
        <v>71</v>
      </c>
    </row>
    <row r="52" customFormat="false" ht="15" hidden="false" customHeight="true" outlineLevel="0" collapsed="false">
      <c r="A52" s="30"/>
      <c r="B52" s="97"/>
      <c r="C52" s="98"/>
      <c r="D52" s="98"/>
      <c r="E52" s="125" t="s">
        <v>72</v>
      </c>
      <c r="F52" s="126" t="s">
        <v>71</v>
      </c>
      <c r="G52" s="101"/>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102"/>
      <c r="AN52" s="53" t="s">
        <v>73</v>
      </c>
    </row>
    <row r="53" customFormat="false" ht="13.8" hidden="false" customHeight="false" outlineLevel="0" collapsed="false">
      <c r="A53" s="30"/>
      <c r="B53" s="79" t="s">
        <v>74</v>
      </c>
      <c r="C53" s="80"/>
      <c r="D53" s="80"/>
      <c r="E53" s="127" t="s">
        <v>75</v>
      </c>
      <c r="F53" s="104" t="s">
        <v>76</v>
      </c>
      <c r="G53" s="128"/>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4"/>
      <c r="AP53" s="0" t="s">
        <v>77</v>
      </c>
      <c r="AQ53" s="0" t="n">
        <v>3</v>
      </c>
    </row>
    <row r="54" customFormat="false" ht="14.9" hidden="false" customHeight="false" outlineLevel="0" collapsed="false">
      <c r="A54" s="30"/>
      <c r="B54" s="91"/>
      <c r="C54" s="86"/>
      <c r="D54" s="86"/>
      <c r="E54" s="129" t="s">
        <v>78</v>
      </c>
      <c r="F54" s="130" t="n">
        <f aca="false">40/AQ53</f>
        <v>13.3333333333333</v>
      </c>
      <c r="G54" s="94" t="s">
        <v>79</v>
      </c>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90"/>
      <c r="AN54" s="0" t="n">
        <f aca="false">((((TJMAX-TAMB)/ThetaJA)/(CLMAX^2))*1000)*NUMFETS^2</f>
        <v>3.01206660472395</v>
      </c>
      <c r="AO54" s="0" t="n">
        <f aca="false">((TJMAX-TAMB)/ThetaJA)</f>
        <v>27.375</v>
      </c>
    </row>
    <row r="55" customFormat="false" ht="12.8" hidden="false" customHeight="false" outlineLevel="0" collapsed="false">
      <c r="A55" s="30"/>
      <c r="B55" s="91"/>
      <c r="C55" s="86"/>
      <c r="D55" s="86"/>
      <c r="E55" s="129" t="s">
        <v>80</v>
      </c>
      <c r="F55" s="88" t="n">
        <v>1</v>
      </c>
      <c r="G55" s="89" t="s">
        <v>81</v>
      </c>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90"/>
      <c r="AN55" s="131" t="s">
        <v>82</v>
      </c>
    </row>
    <row r="56" customFormat="false" ht="15.75" hidden="false" customHeight="true" outlineLevel="0" collapsed="false">
      <c r="A56" s="30"/>
      <c r="B56" s="132"/>
      <c r="C56" s="86"/>
      <c r="D56" s="86"/>
      <c r="E56" s="129" t="s">
        <v>83</v>
      </c>
      <c r="F56" s="88" t="n">
        <f aca="false">9.6/AQ53</f>
        <v>3.2</v>
      </c>
      <c r="G56" s="89" t="s">
        <v>54</v>
      </c>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90"/>
      <c r="AN56" s="53" t="n">
        <f aca="false">F56</f>
        <v>3.2</v>
      </c>
    </row>
    <row r="57" customFormat="false" ht="12.8" hidden="false" customHeight="false" outlineLevel="0" collapsed="false">
      <c r="A57" s="30"/>
      <c r="B57" s="133"/>
      <c r="C57" s="86"/>
      <c r="D57" s="86"/>
      <c r="E57" s="129" t="s">
        <v>84</v>
      </c>
      <c r="F57" s="88" t="n">
        <v>450</v>
      </c>
      <c r="G57" s="94" t="s">
        <v>48</v>
      </c>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90"/>
      <c r="AN57" s="53" t="n">
        <f aca="false">F57</f>
        <v>450</v>
      </c>
    </row>
    <row r="58" customFormat="false" ht="22.2" hidden="false" customHeight="true" outlineLevel="0" collapsed="false">
      <c r="A58" s="30"/>
      <c r="B58" s="134"/>
      <c r="C58" s="86"/>
      <c r="D58" s="86"/>
      <c r="E58" s="129" t="s">
        <v>85</v>
      </c>
      <c r="F58" s="88" t="n">
        <f aca="false">100*AQ53</f>
        <v>300</v>
      </c>
      <c r="G58" s="89" t="s">
        <v>44</v>
      </c>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90"/>
      <c r="AN58" s="53" t="n">
        <f aca="false">F58</f>
        <v>300</v>
      </c>
    </row>
    <row r="59" customFormat="false" ht="15.75" hidden="false" customHeight="true" outlineLevel="0" collapsed="false">
      <c r="A59" s="30"/>
      <c r="B59" s="134"/>
      <c r="C59" s="86"/>
      <c r="D59" s="86"/>
      <c r="E59" s="129" t="s">
        <v>86</v>
      </c>
      <c r="F59" s="88" t="n">
        <f aca="false">27*AQ53</f>
        <v>81</v>
      </c>
      <c r="G59" s="89" t="s">
        <v>44</v>
      </c>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90"/>
      <c r="AN59" s="53" t="n">
        <f aca="false">F59</f>
        <v>81</v>
      </c>
    </row>
    <row r="60" customFormat="false" ht="14.9" hidden="false" customHeight="false" outlineLevel="0" collapsed="false">
      <c r="A60" s="30"/>
      <c r="B60" s="135" t="s">
        <v>74</v>
      </c>
      <c r="C60" s="86"/>
      <c r="D60" s="86"/>
      <c r="E60" s="129" t="s">
        <v>87</v>
      </c>
      <c r="F60" s="88" t="n">
        <f aca="false">6*AQ53</f>
        <v>18</v>
      </c>
      <c r="G60" s="89" t="s">
        <v>44</v>
      </c>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90"/>
      <c r="AN60" s="53" t="n">
        <f aca="false">F60</f>
        <v>18</v>
      </c>
      <c r="AS60" s="136"/>
    </row>
    <row r="61" customFormat="false" ht="15.75" hidden="false" customHeight="true" outlineLevel="0" collapsed="false">
      <c r="A61" s="30"/>
      <c r="B61" s="134"/>
      <c r="C61" s="86"/>
      <c r="D61" s="86"/>
      <c r="E61" s="129" t="s">
        <v>88</v>
      </c>
      <c r="F61" s="88" t="n">
        <f aca="false">2.1*AQ53</f>
        <v>6.3</v>
      </c>
      <c r="G61" s="89" t="s">
        <v>44</v>
      </c>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90"/>
      <c r="AN61" s="53" t="n">
        <f aca="false">F61</f>
        <v>6.3</v>
      </c>
      <c r="AS61" s="136"/>
    </row>
    <row r="62" customFormat="false" ht="19.95" hidden="false" customHeight="true" outlineLevel="0" collapsed="false">
      <c r="A62" s="30"/>
      <c r="B62" s="134"/>
      <c r="C62" s="86"/>
      <c r="D62" s="86"/>
      <c r="E62" s="129" t="s">
        <v>89</v>
      </c>
      <c r="F62" s="88" t="n">
        <f aca="false">1.5*AQ53</f>
        <v>4.5</v>
      </c>
      <c r="G62" s="89" t="s">
        <v>44</v>
      </c>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90"/>
      <c r="AN62" s="53" t="n">
        <f aca="false">F62</f>
        <v>4.5</v>
      </c>
      <c r="AS62" s="136"/>
    </row>
    <row r="63" customFormat="false" ht="15" hidden="false" customHeight="true" outlineLevel="0" collapsed="false">
      <c r="A63" s="30"/>
      <c r="B63" s="136" t="s">
        <v>90</v>
      </c>
      <c r="C63" s="86"/>
      <c r="D63" s="86"/>
      <c r="E63" s="129" t="s">
        <v>91</v>
      </c>
      <c r="F63" s="137" t="n">
        <f aca="false">(IOUTMAX/NUMFETS)^2*RDSON/1000</f>
        <v>19.4688</v>
      </c>
      <c r="G63" s="89" t="s">
        <v>59</v>
      </c>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90"/>
      <c r="AS63" s="136"/>
    </row>
    <row r="64" customFormat="false" ht="15" hidden="false" customHeight="true" outlineLevel="0" collapsed="false">
      <c r="A64" s="30"/>
      <c r="B64" s="136"/>
      <c r="C64" s="86"/>
      <c r="D64" s="86"/>
      <c r="E64" s="129" t="s">
        <v>92</v>
      </c>
      <c r="F64" s="137" t="n">
        <f aca="false">TAMB+(FETPDISS*ThetaJA)</f>
        <v>344.584</v>
      </c>
      <c r="G64" s="94" t="s">
        <v>48</v>
      </c>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90"/>
      <c r="AS64" s="136"/>
    </row>
    <row r="65" customFormat="false" ht="15" hidden="false" customHeight="true" outlineLevel="0" collapsed="false">
      <c r="A65" s="30"/>
      <c r="B65" s="136"/>
      <c r="C65" s="86"/>
      <c r="D65" s="86"/>
      <c r="E65" s="87" t="s">
        <v>93</v>
      </c>
      <c r="F65" s="137" t="n">
        <f aca="false">Equations!F29</f>
        <v>666.666666666667</v>
      </c>
      <c r="G65" s="89" t="s">
        <v>59</v>
      </c>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90"/>
      <c r="AS65" s="136"/>
    </row>
    <row r="66" customFormat="false" ht="15" hidden="false" customHeight="true" outlineLevel="0" collapsed="false">
      <c r="A66" s="30"/>
      <c r="B66" s="136"/>
      <c r="C66" s="86"/>
      <c r="D66" s="86"/>
      <c r="E66" s="87" t="s">
        <v>94</v>
      </c>
      <c r="F66" s="138" t="n">
        <v>700</v>
      </c>
      <c r="G66" s="89" t="s">
        <v>59</v>
      </c>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90"/>
      <c r="AS66" s="136"/>
    </row>
    <row r="67" customFormat="false" ht="15" hidden="false" customHeight="true" outlineLevel="0" collapsed="false">
      <c r="A67" s="30"/>
      <c r="B67" s="136"/>
      <c r="C67" s="86"/>
      <c r="D67" s="86"/>
      <c r="E67" s="87" t="s">
        <v>95</v>
      </c>
      <c r="F67" s="139" t="n">
        <f aca="false">Equations!F31</f>
        <v>23.8571428571429</v>
      </c>
      <c r="G67" s="89" t="s">
        <v>96</v>
      </c>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90"/>
    </row>
    <row r="68" customFormat="false" ht="15" hidden="false" customHeight="true" outlineLevel="0" collapsed="false">
      <c r="A68" s="30"/>
      <c r="B68" s="136"/>
      <c r="C68" s="86"/>
      <c r="D68" s="86"/>
      <c r="E68" s="87" t="s">
        <v>97</v>
      </c>
      <c r="F68" s="88" t="n">
        <v>24</v>
      </c>
      <c r="G68" s="89" t="s">
        <v>96</v>
      </c>
      <c r="H68" s="86"/>
      <c r="I68" s="140" t="s">
        <v>98</v>
      </c>
      <c r="J68" s="140"/>
      <c r="K68" s="140"/>
      <c r="L68" s="140"/>
      <c r="M68" s="140"/>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90"/>
    </row>
    <row r="69" customFormat="false" ht="15" hidden="false" customHeight="true" outlineLevel="0" collapsed="false">
      <c r="A69" s="30"/>
      <c r="B69" s="136"/>
      <c r="C69" s="86"/>
      <c r="D69" s="86"/>
      <c r="E69" s="87" t="s">
        <v>99</v>
      </c>
      <c r="F69" s="139" t="n">
        <f aca="false">Equations!F33</f>
        <v>703.333333333333</v>
      </c>
      <c r="G69" s="89" t="s">
        <v>59</v>
      </c>
      <c r="H69" s="86"/>
      <c r="I69" s="140"/>
      <c r="J69" s="140"/>
      <c r="K69" s="140"/>
      <c r="L69" s="140"/>
      <c r="M69" s="140"/>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90"/>
    </row>
    <row r="70" customFormat="false" ht="13.8" hidden="false" customHeight="false" outlineLevel="0" collapsed="false">
      <c r="A70" s="30"/>
      <c r="B70" s="79" t="s">
        <v>100</v>
      </c>
      <c r="C70" s="80"/>
      <c r="D70" s="80"/>
      <c r="E70" s="127" t="s">
        <v>101</v>
      </c>
      <c r="F70" s="82" t="n">
        <v>0</v>
      </c>
      <c r="G70" s="128" t="s">
        <v>40</v>
      </c>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4"/>
      <c r="AN70" s="53"/>
    </row>
    <row r="71" customFormat="false" ht="13.2" hidden="false" customHeight="false" outlineLevel="0" collapsed="false">
      <c r="A71" s="30"/>
      <c r="B71" s="141"/>
      <c r="C71" s="86"/>
      <c r="D71" s="86"/>
      <c r="E71" s="129" t="s">
        <v>102</v>
      </c>
      <c r="F71" s="142" t="s">
        <v>103</v>
      </c>
      <c r="G71" s="92"/>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90"/>
      <c r="AN71" s="53"/>
    </row>
    <row r="72" customFormat="false" ht="13.2" hidden="false" customHeight="false" outlineLevel="0" collapsed="false">
      <c r="A72" s="30"/>
      <c r="B72" s="91"/>
      <c r="C72" s="86"/>
      <c r="D72" s="86"/>
      <c r="E72" s="129" t="s">
        <v>104</v>
      </c>
      <c r="F72" s="88" t="n">
        <v>0</v>
      </c>
      <c r="G72" s="92" t="str">
        <f aca="false">IF(F71="Constant Current","A","Ohms")</f>
        <v>A</v>
      </c>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90"/>
      <c r="AN72" s="0" t="s">
        <v>103</v>
      </c>
    </row>
    <row r="73" customFormat="false" ht="12.8" hidden="false" customHeight="false" outlineLevel="0" collapsed="false">
      <c r="A73" s="30"/>
      <c r="B73" s="91"/>
      <c r="C73" s="86"/>
      <c r="D73" s="86"/>
      <c r="E73" s="87" t="s">
        <v>105</v>
      </c>
      <c r="F73" s="108" t="s">
        <v>28</v>
      </c>
      <c r="G73" s="92"/>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90"/>
      <c r="AN73" s="0" t="s">
        <v>106</v>
      </c>
    </row>
    <row r="74" customFormat="false" ht="13.2" hidden="false" customHeight="false" outlineLevel="0" collapsed="false">
      <c r="A74" s="30"/>
      <c r="B74" s="91"/>
      <c r="C74" s="86"/>
      <c r="D74" s="86"/>
      <c r="E74" s="129" t="s">
        <v>107</v>
      </c>
      <c r="F74" s="143" t="n">
        <f aca="false">Start_up!M2</f>
        <v>32.5</v>
      </c>
      <c r="G74" s="89" t="s">
        <v>108</v>
      </c>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90"/>
      <c r="AN74" s="53"/>
    </row>
    <row r="75" customFormat="false" ht="13.2" hidden="false" customHeight="false" outlineLevel="0" collapsed="false">
      <c r="A75" s="30"/>
      <c r="B75" s="91"/>
      <c r="C75" s="86"/>
      <c r="D75" s="86"/>
      <c r="E75" s="129" t="s">
        <v>109</v>
      </c>
      <c r="F75" s="144" t="n">
        <f aca="false">Start_up!O2</f>
        <v>1</v>
      </c>
      <c r="G75" s="89"/>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90"/>
      <c r="AN75" s="53"/>
    </row>
    <row r="76" customFormat="false" ht="13.2" hidden="false" customHeight="true" outlineLevel="0" collapsed="false">
      <c r="A76" s="30"/>
      <c r="B76" s="141"/>
      <c r="C76" s="86"/>
      <c r="D76" s="86"/>
      <c r="E76" s="87" t="s">
        <v>110</v>
      </c>
      <c r="F76" s="143" t="n">
        <f aca="false">Equations!F46</f>
        <v>48.75</v>
      </c>
      <c r="G76" s="92" t="s">
        <v>108</v>
      </c>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90"/>
    </row>
    <row r="77" customFormat="false" ht="12.6" hidden="false" customHeight="true" outlineLevel="0" collapsed="false">
      <c r="A77" s="30"/>
      <c r="B77" s="91"/>
      <c r="C77" s="86"/>
      <c r="D77" s="86"/>
      <c r="E77" s="145" t="s">
        <v>111</v>
      </c>
      <c r="F77" s="143" t="n">
        <f aca="false">Equations!F47</f>
        <v>937.5</v>
      </c>
      <c r="G77" s="89" t="s">
        <v>112</v>
      </c>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90"/>
    </row>
    <row r="78" customFormat="false" ht="15" hidden="false" customHeight="true" outlineLevel="0" collapsed="false">
      <c r="A78" s="30"/>
      <c r="B78" s="91"/>
      <c r="C78" s="86"/>
      <c r="D78" s="86"/>
      <c r="E78" s="145" t="s">
        <v>113</v>
      </c>
      <c r="F78" s="88" t="n">
        <v>20000</v>
      </c>
      <c r="G78" s="89" t="s">
        <v>112</v>
      </c>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90"/>
    </row>
    <row r="79" customFormat="false" ht="15" hidden="false" customHeight="true" outlineLevel="0" collapsed="false">
      <c r="A79" s="30"/>
      <c r="B79" s="146" t="s">
        <v>100</v>
      </c>
      <c r="C79" s="86"/>
      <c r="D79" s="86"/>
      <c r="E79" s="145" t="s">
        <v>114</v>
      </c>
      <c r="F79" s="143" t="n">
        <f aca="false">Equations!F49</f>
        <v>1040</v>
      </c>
      <c r="G79" s="89" t="s">
        <v>108</v>
      </c>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90"/>
    </row>
    <row r="80" customFormat="false" ht="15" hidden="false" customHeight="true" outlineLevel="0" collapsed="false">
      <c r="A80" s="30"/>
      <c r="B80" s="91"/>
      <c r="C80" s="86"/>
      <c r="D80" s="86"/>
      <c r="E80" s="145" t="s">
        <v>115</v>
      </c>
      <c r="F80" s="143" t="n">
        <f aca="false">Equations!F50</f>
        <v>2.07158241217503</v>
      </c>
      <c r="G80" s="89"/>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90"/>
    </row>
    <row r="81" customFormat="false" ht="15" hidden="false" customHeight="true" outlineLevel="0" collapsed="false">
      <c r="A81" s="30"/>
      <c r="B81" s="91"/>
      <c r="C81" s="86"/>
      <c r="D81" s="86"/>
      <c r="E81" s="145" t="s">
        <v>116</v>
      </c>
      <c r="F81" s="108" t="s">
        <v>29</v>
      </c>
      <c r="G81" s="89"/>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90"/>
    </row>
    <row r="82" customFormat="false" ht="15" hidden="false" customHeight="true" outlineLevel="0" collapsed="false">
      <c r="A82" s="30"/>
      <c r="B82" s="91"/>
      <c r="C82" s="86"/>
      <c r="D82" s="86"/>
      <c r="E82" s="145" t="s">
        <v>117</v>
      </c>
      <c r="F82" s="143" t="n">
        <f aca="false">dv_dt_recommendations!J28</f>
        <v>2.46484332855781</v>
      </c>
      <c r="G82" s="89" t="s">
        <v>118</v>
      </c>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90"/>
    </row>
    <row r="83" customFormat="false" ht="15" hidden="false" customHeight="true" outlineLevel="0" collapsed="false">
      <c r="A83" s="30"/>
      <c r="B83" s="91"/>
      <c r="C83" s="86"/>
      <c r="D83" s="86"/>
      <c r="E83" s="145" t="s">
        <v>119</v>
      </c>
      <c r="F83" s="143" t="n">
        <f aca="false">dv_dt_recommendations!J29</f>
        <v>0.107085598221087</v>
      </c>
      <c r="G83" s="89" t="s">
        <v>118</v>
      </c>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90"/>
    </row>
    <row r="84" customFormat="false" ht="15" hidden="false" customHeight="true" outlineLevel="0" collapsed="false">
      <c r="A84" s="30"/>
      <c r="B84" s="91"/>
      <c r="C84" s="86"/>
      <c r="D84" s="86"/>
      <c r="E84" s="147" t="s">
        <v>120</v>
      </c>
      <c r="F84" s="88" t="n">
        <v>1.5</v>
      </c>
      <c r="G84" s="89" t="s">
        <v>118</v>
      </c>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90"/>
    </row>
    <row r="85" customFormat="false" ht="15" hidden="false" customHeight="true" outlineLevel="0" collapsed="false">
      <c r="A85" s="30"/>
      <c r="B85" s="91"/>
      <c r="C85" s="86"/>
      <c r="D85" s="86"/>
      <c r="E85" s="147" t="s">
        <v>121</v>
      </c>
      <c r="F85" s="143" t="n">
        <f aca="false">Equations!F53</f>
        <v>13.3333333333333</v>
      </c>
      <c r="G85" s="148" t="s">
        <v>112</v>
      </c>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90"/>
    </row>
    <row r="86" customFormat="false" ht="15" hidden="false" customHeight="true" outlineLevel="0" collapsed="false">
      <c r="A86" s="30"/>
      <c r="B86" s="149" t="s">
        <v>122</v>
      </c>
      <c r="C86" s="149"/>
      <c r="D86" s="86"/>
      <c r="E86" s="147" t="s">
        <v>123</v>
      </c>
      <c r="F86" s="88" t="n">
        <v>13</v>
      </c>
      <c r="G86" s="89" t="s">
        <v>112</v>
      </c>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90"/>
    </row>
    <row r="87" customFormat="false" ht="15" hidden="false" customHeight="true" outlineLevel="0" collapsed="false">
      <c r="A87" s="30"/>
      <c r="B87" s="149"/>
      <c r="C87" s="149"/>
      <c r="D87" s="86"/>
      <c r="E87" s="147" t="s">
        <v>124</v>
      </c>
      <c r="F87" s="143" t="n">
        <f aca="false">Equations!F55</f>
        <v>1.53846153846154</v>
      </c>
      <c r="G87" s="89" t="s">
        <v>118</v>
      </c>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90"/>
    </row>
    <row r="88" customFormat="false" ht="16.95" hidden="false" customHeight="true" outlineLevel="0" collapsed="false">
      <c r="A88" s="30"/>
      <c r="B88" s="149"/>
      <c r="C88" s="149"/>
      <c r="D88" s="86"/>
      <c r="E88" s="147" t="s">
        <v>125</v>
      </c>
      <c r="F88" s="143" t="n">
        <f aca="false">Equations!F62</f>
        <v>2.02212575360346</v>
      </c>
      <c r="G88" s="89"/>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90"/>
    </row>
    <row r="89" customFormat="false" ht="16.95" hidden="false" customHeight="true" outlineLevel="0" collapsed="false">
      <c r="A89" s="30"/>
      <c r="B89" s="149"/>
      <c r="C89" s="149"/>
      <c r="D89" s="86"/>
      <c r="E89" s="147" t="s">
        <v>126</v>
      </c>
      <c r="F89" s="88" t="n">
        <v>0.25</v>
      </c>
      <c r="G89" s="89" t="s">
        <v>108</v>
      </c>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90"/>
    </row>
    <row r="90" customFormat="false" ht="16.95" hidden="false" customHeight="true" outlineLevel="0" collapsed="false">
      <c r="A90" s="30"/>
      <c r="B90" s="149"/>
      <c r="C90" s="149"/>
      <c r="D90" s="86"/>
      <c r="E90" s="147" t="s">
        <v>127</v>
      </c>
      <c r="F90" s="143" t="n">
        <f aca="false">Equations!F67</f>
        <v>4.80769230769231</v>
      </c>
      <c r="G90" s="89" t="s">
        <v>112</v>
      </c>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90"/>
    </row>
    <row r="91" customFormat="false" ht="16.95" hidden="false" customHeight="true" outlineLevel="0" collapsed="false">
      <c r="A91" s="30"/>
      <c r="B91" s="91"/>
      <c r="C91" s="86"/>
      <c r="D91" s="86"/>
      <c r="E91" s="150" t="s">
        <v>128</v>
      </c>
      <c r="F91" s="88" t="n">
        <v>10</v>
      </c>
      <c r="G91" s="89" t="s">
        <v>112</v>
      </c>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90"/>
    </row>
    <row r="92" customFormat="false" ht="15" hidden="false" customHeight="true" outlineLevel="0" collapsed="false">
      <c r="A92" s="30"/>
      <c r="B92" s="91"/>
      <c r="C92" s="86"/>
      <c r="D92" s="86"/>
      <c r="E92" s="145" t="s">
        <v>129</v>
      </c>
      <c r="F92" s="143" t="n">
        <f aca="false">Equations!F69</f>
        <v>0.52</v>
      </c>
      <c r="G92" s="89" t="s">
        <v>108</v>
      </c>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151" t="s">
        <v>130</v>
      </c>
    </row>
    <row r="93" customFormat="false" ht="15" hidden="false" customHeight="true" outlineLevel="0" collapsed="false">
      <c r="A93" s="30"/>
      <c r="B93" s="91"/>
      <c r="C93" s="86"/>
      <c r="D93" s="86"/>
      <c r="E93" s="145" t="s">
        <v>131</v>
      </c>
      <c r="F93" s="143" t="n">
        <f aca="false">Equations!F71</f>
        <v>2.07158241217503</v>
      </c>
      <c r="G93" s="152"/>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151"/>
    </row>
    <row r="94" customFormat="false" ht="14.55" hidden="false" customHeight="true" outlineLevel="0" collapsed="false">
      <c r="A94" s="30"/>
      <c r="B94" s="91"/>
      <c r="C94" s="86"/>
      <c r="D94" s="86"/>
      <c r="E94" s="87" t="s">
        <v>132</v>
      </c>
      <c r="F94" s="153" t="n">
        <f aca="false">Equations!F98</f>
        <v>8.125</v>
      </c>
      <c r="G94" s="92" t="s">
        <v>108</v>
      </c>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90"/>
    </row>
    <row r="95" customFormat="false" ht="15" hidden="false" customHeight="true" outlineLevel="0" collapsed="false">
      <c r="A95" s="30"/>
      <c r="B95" s="91"/>
      <c r="C95" s="86"/>
      <c r="D95" s="86"/>
      <c r="E95" s="87" t="s">
        <v>133</v>
      </c>
      <c r="F95" s="143" t="n">
        <f aca="false">Equations!F101</f>
        <v>82.8771428571429</v>
      </c>
      <c r="G95" s="89" t="s">
        <v>108</v>
      </c>
      <c r="H95" s="109"/>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90"/>
    </row>
    <row r="96" customFormat="false" ht="15" hidden="false" customHeight="true" outlineLevel="0" collapsed="false">
      <c r="A96" s="30"/>
      <c r="B96" s="79" t="s">
        <v>134</v>
      </c>
      <c r="C96" s="103"/>
      <c r="D96" s="80"/>
      <c r="E96" s="154" t="s">
        <v>135</v>
      </c>
      <c r="F96" s="155" t="s">
        <v>136</v>
      </c>
      <c r="G96" s="156"/>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4"/>
      <c r="AN96" s="53" t="s">
        <v>137</v>
      </c>
    </row>
    <row r="97" customFormat="false" ht="15" hidden="false" customHeight="true" outlineLevel="0" collapsed="false">
      <c r="A97" s="30"/>
      <c r="B97" s="91"/>
      <c r="C97" s="86"/>
      <c r="D97" s="86"/>
      <c r="E97" s="87" t="s">
        <v>138</v>
      </c>
      <c r="F97" s="157" t="n">
        <v>38</v>
      </c>
      <c r="G97" s="158" t="s">
        <v>40</v>
      </c>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90"/>
      <c r="AN97" s="53" t="s">
        <v>136</v>
      </c>
    </row>
    <row r="98" customFormat="false" ht="15" hidden="false" customHeight="true" outlineLevel="0" collapsed="false">
      <c r="A98" s="30"/>
      <c r="B98" s="91"/>
      <c r="C98" s="86"/>
      <c r="D98" s="86"/>
      <c r="E98" s="87" t="s">
        <v>139</v>
      </c>
      <c r="F98" s="157" t="n">
        <v>35</v>
      </c>
      <c r="G98" s="158" t="s">
        <v>40</v>
      </c>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90"/>
      <c r="AN98" s="0" t="s">
        <v>140</v>
      </c>
    </row>
    <row r="99" customFormat="false" ht="15" hidden="false" customHeight="true" outlineLevel="0" collapsed="false">
      <c r="A99" s="30"/>
      <c r="B99" s="91"/>
      <c r="C99" s="86"/>
      <c r="D99" s="86"/>
      <c r="E99" s="87" t="s">
        <v>141</v>
      </c>
      <c r="F99" s="157" t="n">
        <v>65</v>
      </c>
      <c r="G99" s="158" t="s">
        <v>40</v>
      </c>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90"/>
      <c r="AN99" s="0" t="s">
        <v>142</v>
      </c>
    </row>
    <row r="100" customFormat="false" ht="15" hidden="false" customHeight="true" outlineLevel="0" collapsed="false">
      <c r="A100" s="30"/>
      <c r="B100" s="91"/>
      <c r="C100" s="86"/>
      <c r="D100" s="86"/>
      <c r="E100" s="159" t="s">
        <v>143</v>
      </c>
      <c r="F100" s="157" t="n">
        <v>63</v>
      </c>
      <c r="G100" s="158" t="s">
        <v>40</v>
      </c>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90"/>
    </row>
    <row r="101" customFormat="false" ht="15" hidden="false" customHeight="true" outlineLevel="0" collapsed="false">
      <c r="A101" s="30"/>
      <c r="B101" s="91"/>
      <c r="C101" s="86"/>
      <c r="D101" s="86"/>
      <c r="E101" s="160" t="s">
        <v>144</v>
      </c>
      <c r="F101" s="161" t="n">
        <f aca="false">IF(F96="Option A",Equations!F119,Equations!G119)</f>
        <v>150</v>
      </c>
      <c r="G101" s="158" t="s">
        <v>96</v>
      </c>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90"/>
    </row>
    <row r="102" customFormat="false" ht="15" hidden="false" customHeight="true" outlineLevel="0" collapsed="false">
      <c r="A102" s="30"/>
      <c r="B102" s="91"/>
      <c r="C102" s="86"/>
      <c r="D102" s="86"/>
      <c r="E102" s="162" t="s">
        <v>145</v>
      </c>
      <c r="F102" s="161" t="n">
        <f aca="false">IF(F96="Option A",Equations!F120,Equations!G120)</f>
        <v>11.4391143911439</v>
      </c>
      <c r="G102" s="158" t="s">
        <v>96</v>
      </c>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90"/>
    </row>
    <row r="103" customFormat="false" ht="15" hidden="false" customHeight="true" outlineLevel="0" collapsed="false">
      <c r="A103" s="30"/>
      <c r="B103" s="146" t="s">
        <v>134</v>
      </c>
      <c r="C103" s="86"/>
      <c r="D103" s="86"/>
      <c r="E103" s="162" t="s">
        <v>146</v>
      </c>
      <c r="F103" s="161" t="n">
        <f aca="false">IF(F96="Option A",Equations!F121,Equations!G121)</f>
        <v>95.2380952380952</v>
      </c>
      <c r="G103" s="158" t="s">
        <v>96</v>
      </c>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90"/>
    </row>
    <row r="104" customFormat="false" ht="15" hidden="false" customHeight="true" outlineLevel="0" collapsed="false">
      <c r="A104" s="30"/>
      <c r="B104" s="91"/>
      <c r="C104" s="86"/>
      <c r="D104" s="86"/>
      <c r="E104" s="162" t="s">
        <v>147</v>
      </c>
      <c r="F104" s="161" t="n">
        <f aca="false">IF(F96="Option A",Equations!F122,Equations!G122)</f>
        <v>3.74617387728996</v>
      </c>
      <c r="G104" s="158" t="s">
        <v>96</v>
      </c>
      <c r="H104" s="86"/>
      <c r="I104" s="86"/>
      <c r="J104" s="163"/>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90"/>
    </row>
    <row r="105" customFormat="false" ht="15" hidden="false" customHeight="true" outlineLevel="0" collapsed="false">
      <c r="A105" s="30"/>
      <c r="B105" s="91"/>
      <c r="C105" s="86"/>
      <c r="D105" s="86"/>
      <c r="E105" s="87" t="s">
        <v>148</v>
      </c>
      <c r="F105" s="157" t="n">
        <v>150</v>
      </c>
      <c r="G105" s="158" t="s">
        <v>96</v>
      </c>
      <c r="H105" s="86"/>
      <c r="I105" s="86"/>
      <c r="J105" s="163"/>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90"/>
    </row>
    <row r="106" customFormat="false" ht="15" hidden="false" customHeight="true" outlineLevel="0" collapsed="false">
      <c r="A106" s="30"/>
      <c r="B106" s="91"/>
      <c r="C106" s="86"/>
      <c r="D106" s="86"/>
      <c r="E106" s="87" t="s">
        <v>149</v>
      </c>
      <c r="F106" s="157" t="n">
        <v>11.5</v>
      </c>
      <c r="G106" s="158" t="s">
        <v>96</v>
      </c>
      <c r="H106" s="86"/>
      <c r="I106" s="86"/>
      <c r="J106" s="163"/>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90"/>
    </row>
    <row r="107" customFormat="false" ht="15" hidden="false" customHeight="true" outlineLevel="0" collapsed="false">
      <c r="A107" s="30"/>
      <c r="B107" s="91"/>
      <c r="C107" s="86"/>
      <c r="D107" s="86"/>
      <c r="E107" s="87" t="s">
        <v>150</v>
      </c>
      <c r="F107" s="157" t="n">
        <v>95.3</v>
      </c>
      <c r="G107" s="158" t="s">
        <v>96</v>
      </c>
      <c r="H107" s="86"/>
      <c r="I107" s="86"/>
      <c r="J107" s="163"/>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90"/>
    </row>
    <row r="108" customFormat="false" ht="15" hidden="false" customHeight="true" outlineLevel="0" collapsed="false">
      <c r="A108" s="30"/>
      <c r="B108" s="91"/>
      <c r="C108" s="86"/>
      <c r="D108" s="86"/>
      <c r="E108" s="87" t="s">
        <v>151</v>
      </c>
      <c r="F108" s="157" t="n">
        <v>3.74</v>
      </c>
      <c r="G108" s="158" t="s">
        <v>96</v>
      </c>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90"/>
    </row>
    <row r="109" customFormat="false" ht="15" hidden="false" customHeight="true" outlineLevel="0" collapsed="false">
      <c r="A109" s="30"/>
      <c r="B109" s="91"/>
      <c r="C109" s="86"/>
      <c r="D109" s="86"/>
      <c r="E109" s="86"/>
      <c r="F109" s="86"/>
      <c r="G109" s="164"/>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90"/>
    </row>
    <row r="110" customFormat="false" ht="15" hidden="false" customHeight="true" outlineLevel="0" collapsed="false">
      <c r="A110" s="30"/>
      <c r="B110" s="91"/>
      <c r="C110" s="165" t="s">
        <v>152</v>
      </c>
      <c r="D110" s="166" t="s">
        <v>153</v>
      </c>
      <c r="E110" s="166" t="s">
        <v>154</v>
      </c>
      <c r="F110" s="166" t="s">
        <v>155</v>
      </c>
      <c r="G110" s="164"/>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90"/>
    </row>
    <row r="111" customFormat="false" ht="15" hidden="false" customHeight="true" outlineLevel="0" collapsed="false">
      <c r="A111" s="30"/>
      <c r="B111" s="91"/>
      <c r="C111" s="129" t="s">
        <v>156</v>
      </c>
      <c r="D111" s="167" t="n">
        <f aca="false">IF($F$96="Option A",Equations!F123,Equations!G123)</f>
        <v>36.2447826086957</v>
      </c>
      <c r="E111" s="168" t="n">
        <f aca="false">IF($F$96="Option A",Equations!F124,Equations!G124)</f>
        <v>37.8278260869565</v>
      </c>
      <c r="F111" s="169" t="n">
        <f aca="false">IF($F$96="Option A",Equations!F125,Equations!G125)</f>
        <v>39.4108695652174</v>
      </c>
      <c r="G111" s="158" t="s">
        <v>40</v>
      </c>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90"/>
    </row>
    <row r="112" customFormat="false" ht="15" hidden="false" customHeight="true" outlineLevel="0" collapsed="false">
      <c r="A112" s="30"/>
      <c r="B112" s="91"/>
      <c r="C112" s="129" t="s">
        <v>157</v>
      </c>
      <c r="D112" s="170" t="n">
        <f aca="false">IF($F$96="Option A",Equations!F126,Equations!G126)</f>
        <v>33.8447826086957</v>
      </c>
      <c r="E112" s="143" t="n">
        <f aca="false">IF($F$96="Option A",Equations!F127,Equations!G127)</f>
        <v>34.8278260869565</v>
      </c>
      <c r="F112" s="171" t="n">
        <f aca="false">IF($F$96="Option A",Equations!F128,Equations!G128)</f>
        <v>35.8108695652174</v>
      </c>
      <c r="G112" s="158" t="s">
        <v>40</v>
      </c>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90"/>
    </row>
    <row r="113" customFormat="false" ht="15" hidden="false" customHeight="true" outlineLevel="0" collapsed="false">
      <c r="A113" s="30"/>
      <c r="B113" s="91"/>
      <c r="C113" s="129" t="s">
        <v>158</v>
      </c>
      <c r="D113" s="170" t="n">
        <f aca="false">IF($F$96="Option A",Equations!F129,Equations!G129)</f>
        <v>63.2902673796791</v>
      </c>
      <c r="E113" s="143" t="n">
        <f aca="false">IF($F$96="Option A",Equations!F130,Equations!G130)</f>
        <v>65.1439572192513</v>
      </c>
      <c r="F113" s="171" t="n">
        <f aca="false">IF($F$96="Option A",Equations!F131,Equations!G131)</f>
        <v>66.9976470588235</v>
      </c>
      <c r="G113" s="158" t="s">
        <v>40</v>
      </c>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90"/>
    </row>
    <row r="114" customFormat="false" ht="15" hidden="false" customHeight="true" outlineLevel="0" collapsed="false">
      <c r="A114" s="30"/>
      <c r="B114" s="91"/>
      <c r="C114" s="129" t="s">
        <v>159</v>
      </c>
      <c r="D114" s="172" t="n">
        <f aca="false">IF($F$96="Option A",Equations!F132,Equations!G132)</f>
        <v>61.0030673796791</v>
      </c>
      <c r="E114" s="173" t="n">
        <f aca="false">IF($F$96="Option A",Equations!F133,Equations!G133)</f>
        <v>63.1426572192513</v>
      </c>
      <c r="F114" s="174" t="n">
        <f aca="false">IF($F$96="Option A",Equations!F134,Equations!G134)</f>
        <v>65.4728470588235</v>
      </c>
      <c r="G114" s="158" t="s">
        <v>40</v>
      </c>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90"/>
    </row>
    <row r="115" customFormat="false" ht="15" hidden="false" customHeight="true" outlineLevel="0" collapsed="false">
      <c r="A115" s="30"/>
      <c r="B115" s="91"/>
      <c r="C115" s="175" t="s">
        <v>160</v>
      </c>
      <c r="D115" s="175"/>
      <c r="E115" s="175"/>
      <c r="F115" s="175"/>
      <c r="G115" s="175"/>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90"/>
    </row>
    <row r="116" customFormat="false" ht="15" hidden="false" customHeight="true" outlineLevel="0" collapsed="false">
      <c r="A116" s="30"/>
      <c r="B116" s="91"/>
      <c r="C116" s="175"/>
      <c r="D116" s="175"/>
      <c r="E116" s="175"/>
      <c r="F116" s="175"/>
      <c r="G116" s="175"/>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90"/>
    </row>
    <row r="117" customFormat="false" ht="15" hidden="false" customHeight="true" outlineLevel="0" collapsed="false">
      <c r="A117" s="30"/>
      <c r="B117" s="91"/>
      <c r="C117" s="175"/>
      <c r="D117" s="175"/>
      <c r="E117" s="175"/>
      <c r="F117" s="175"/>
      <c r="G117" s="175"/>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90"/>
    </row>
    <row r="118" customFormat="false" ht="15" hidden="false" customHeight="true" outlineLevel="0" collapsed="false">
      <c r="A118" s="30"/>
      <c r="B118" s="85"/>
      <c r="C118" s="86"/>
      <c r="D118" s="86"/>
      <c r="E118" s="129" t="s">
        <v>161</v>
      </c>
      <c r="F118" s="176" t="n">
        <v>100</v>
      </c>
      <c r="G118" s="177" t="s">
        <v>96</v>
      </c>
      <c r="H118" s="86"/>
      <c r="I118" s="122"/>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90"/>
    </row>
    <row r="119" customFormat="false" ht="15" hidden="false" customHeight="true" outlineLevel="0" collapsed="false">
      <c r="A119" s="30"/>
      <c r="B119" s="91"/>
      <c r="C119" s="86"/>
      <c r="D119" s="86"/>
      <c r="E119" s="129" t="s">
        <v>162</v>
      </c>
      <c r="F119" s="176" t="n">
        <v>38</v>
      </c>
      <c r="G119" s="177" t="s">
        <v>40</v>
      </c>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90"/>
    </row>
    <row r="120" customFormat="false" ht="15" hidden="false" customHeight="true" outlineLevel="0" collapsed="false">
      <c r="A120" s="30"/>
      <c r="B120" s="91"/>
      <c r="C120" s="86"/>
      <c r="D120" s="86"/>
      <c r="E120" s="129" t="s">
        <v>163</v>
      </c>
      <c r="F120" s="176" t="n">
        <v>3</v>
      </c>
      <c r="G120" s="177" t="s">
        <v>40</v>
      </c>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90"/>
    </row>
    <row r="121" customFormat="false" ht="15" hidden="false" customHeight="true" outlineLevel="0" collapsed="false">
      <c r="A121" s="30"/>
      <c r="B121" s="91"/>
      <c r="C121" s="86"/>
      <c r="D121" s="86"/>
      <c r="E121" s="178" t="s">
        <v>164</v>
      </c>
      <c r="F121" s="179" t="n">
        <f aca="false">F120/('Device Parameters'!D52/1000)</f>
        <v>150</v>
      </c>
      <c r="G121" s="177" t="s">
        <v>96</v>
      </c>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90"/>
    </row>
    <row r="122" customFormat="false" ht="15" hidden="false" customHeight="true" outlineLevel="0" collapsed="false">
      <c r="A122" s="30"/>
      <c r="B122" s="91"/>
      <c r="C122" s="86"/>
      <c r="D122" s="86"/>
      <c r="E122" s="178" t="s">
        <v>165</v>
      </c>
      <c r="F122" s="180" t="n">
        <f aca="false">F121*'Device Parameters'!D51/(F119-'Device Parameters'!D51)</f>
        <v>10.3826674169949</v>
      </c>
      <c r="G122" s="177" t="s">
        <v>96</v>
      </c>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90"/>
    </row>
    <row r="123" customFormat="false" ht="15" hidden="false" customHeight="true" outlineLevel="0" collapsed="false">
      <c r="A123" s="30"/>
      <c r="B123" s="91"/>
      <c r="C123" s="86"/>
      <c r="D123" s="86"/>
      <c r="E123" s="129" t="s">
        <v>166</v>
      </c>
      <c r="F123" s="176" t="n">
        <v>150</v>
      </c>
      <c r="G123" s="177" t="s">
        <v>96</v>
      </c>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90"/>
    </row>
    <row r="124" customFormat="false" ht="15" hidden="false" customHeight="true" outlineLevel="0" collapsed="false">
      <c r="A124" s="30"/>
      <c r="B124" s="91"/>
      <c r="C124" s="86"/>
      <c r="D124" s="86"/>
      <c r="E124" s="178" t="s">
        <v>165</v>
      </c>
      <c r="F124" s="176" t="n">
        <v>10.5</v>
      </c>
      <c r="G124" s="177" t="s">
        <v>96</v>
      </c>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90"/>
    </row>
    <row r="125" customFormat="false" ht="15" hidden="false" customHeight="true" outlineLevel="0" collapsed="false">
      <c r="A125" s="30"/>
      <c r="B125" s="91"/>
      <c r="C125" s="86"/>
      <c r="D125" s="86"/>
      <c r="E125" s="178" t="s">
        <v>167</v>
      </c>
      <c r="F125" s="180" t="n">
        <f aca="false">Equations!F104</f>
        <v>37.6028571428571</v>
      </c>
      <c r="G125" s="177" t="s">
        <v>40</v>
      </c>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90"/>
    </row>
    <row r="126" customFormat="false" ht="15" hidden="false" customHeight="true" outlineLevel="0" collapsed="false">
      <c r="A126" s="30"/>
      <c r="B126" s="91"/>
      <c r="C126" s="98"/>
      <c r="D126" s="98"/>
      <c r="E126" s="178" t="s">
        <v>168</v>
      </c>
      <c r="F126" s="181" t="n">
        <f aca="false">Equations!F107/1000</f>
        <v>3</v>
      </c>
      <c r="G126" s="177" t="s">
        <v>40</v>
      </c>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102"/>
    </row>
    <row r="127" customFormat="false" ht="18.75" hidden="false" customHeight="true" outlineLevel="0" collapsed="false">
      <c r="A127" s="30"/>
      <c r="B127" s="79" t="s">
        <v>169</v>
      </c>
      <c r="C127" s="80"/>
      <c r="D127" s="80"/>
      <c r="E127" s="182" t="s">
        <v>170</v>
      </c>
      <c r="F127" s="183" t="n">
        <f aca="false">Rs</f>
        <v>0.3</v>
      </c>
      <c r="G127" s="184" t="s">
        <v>54</v>
      </c>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4"/>
    </row>
    <row r="128" customFormat="false" ht="15" hidden="false" customHeight="true" outlineLevel="0" collapsed="false">
      <c r="A128" s="30"/>
      <c r="B128" s="85"/>
      <c r="C128" s="86"/>
      <c r="D128" s="86"/>
      <c r="E128" s="185" t="s">
        <v>171</v>
      </c>
      <c r="F128" s="186" t="str">
        <f aca="false">IF(F40="No", "DNP",RDIV1)</f>
        <v>DNP</v>
      </c>
      <c r="G128" s="187" t="s">
        <v>59</v>
      </c>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90"/>
    </row>
    <row r="129" customFormat="false" ht="14.25" hidden="false" customHeight="true" outlineLevel="0" collapsed="false">
      <c r="A129" s="30"/>
      <c r="B129" s="85"/>
      <c r="C129" s="86"/>
      <c r="D129" s="86"/>
      <c r="E129" s="185" t="s">
        <v>172</v>
      </c>
      <c r="F129" s="186" t="n">
        <f aca="false">IF(F40="No",0,RDIV2)</f>
        <v>0</v>
      </c>
      <c r="G129" s="187" t="s">
        <v>59</v>
      </c>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90"/>
    </row>
    <row r="130" customFormat="false" ht="15" hidden="false" customHeight="true" outlineLevel="0" collapsed="false">
      <c r="A130" s="30"/>
      <c r="B130" s="91"/>
      <c r="C130" s="86"/>
      <c r="D130" s="86"/>
      <c r="E130" s="188" t="s">
        <v>173</v>
      </c>
      <c r="F130" s="189" t="n">
        <f aca="false">F68</f>
        <v>24</v>
      </c>
      <c r="G130" s="190" t="s">
        <v>96</v>
      </c>
      <c r="H130" s="86"/>
      <c r="I130" s="191"/>
      <c r="J130" s="192"/>
      <c r="K130" s="193" t="s">
        <v>174</v>
      </c>
      <c r="L130" s="194" t="s">
        <v>175</v>
      </c>
      <c r="M130" s="122"/>
      <c r="N130" s="195"/>
      <c r="O130" s="195"/>
      <c r="P130" s="195"/>
      <c r="Q130" s="195"/>
      <c r="R130" s="195"/>
      <c r="S130" s="195"/>
      <c r="T130" s="195"/>
      <c r="U130" s="195"/>
      <c r="V130" s="195"/>
      <c r="W130" s="195"/>
      <c r="X130" s="195"/>
      <c r="Y130" s="195"/>
      <c r="Z130" s="195"/>
      <c r="AA130" s="195"/>
      <c r="AB130" s="195"/>
      <c r="AC130" s="195"/>
      <c r="AD130" s="195"/>
      <c r="AE130" s="195"/>
      <c r="AF130" s="195"/>
      <c r="AG130" s="195"/>
      <c r="AH130" s="195"/>
      <c r="AI130" s="195"/>
      <c r="AJ130" s="195"/>
      <c r="AK130" s="195"/>
      <c r="AL130" s="195"/>
      <c r="AM130" s="196"/>
    </row>
    <row r="131" customFormat="false" ht="15" hidden="false" customHeight="true" outlineLevel="0" collapsed="false">
      <c r="A131" s="30"/>
      <c r="B131" s="91"/>
      <c r="C131" s="86"/>
      <c r="D131" s="86"/>
      <c r="E131" s="87" t="s">
        <v>176</v>
      </c>
      <c r="F131" s="143" t="n">
        <f aca="false">IF(F73="YES", F91, F78)</f>
        <v>10</v>
      </c>
      <c r="G131" s="190" t="s">
        <v>112</v>
      </c>
      <c r="H131" s="86"/>
      <c r="I131" s="197"/>
      <c r="J131" s="198" t="s">
        <v>177</v>
      </c>
      <c r="K131" s="199" t="n">
        <f aca="false">F48</f>
        <v>86.6666666666667</v>
      </c>
      <c r="L131" s="200" t="s">
        <v>44</v>
      </c>
      <c r="M131" s="122"/>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151"/>
    </row>
    <row r="132" customFormat="false" ht="15" hidden="false" customHeight="true" outlineLevel="0" collapsed="false">
      <c r="A132" s="30"/>
      <c r="B132" s="91"/>
      <c r="C132" s="86"/>
      <c r="D132" s="86"/>
      <c r="E132" s="188" t="s">
        <v>178</v>
      </c>
      <c r="F132" s="201" t="n">
        <f aca="false">F105</f>
        <v>150</v>
      </c>
      <c r="G132" s="190" t="s">
        <v>96</v>
      </c>
      <c r="H132" s="86"/>
      <c r="I132" s="197"/>
      <c r="J132" s="198" t="s">
        <v>179</v>
      </c>
      <c r="K132" s="202" t="n">
        <f aca="false">F69</f>
        <v>703.333333333333</v>
      </c>
      <c r="L132" s="200" t="s">
        <v>59</v>
      </c>
      <c r="M132" s="122"/>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151"/>
    </row>
    <row r="133" customFormat="false" ht="15" hidden="false" customHeight="true" outlineLevel="0" collapsed="false">
      <c r="A133" s="30"/>
      <c r="B133" s="91"/>
      <c r="C133" s="86"/>
      <c r="D133" s="86"/>
      <c r="E133" s="188" t="s">
        <v>180</v>
      </c>
      <c r="F133" s="201" t="n">
        <f aca="false">F106</f>
        <v>11.5</v>
      </c>
      <c r="G133" s="190" t="s">
        <v>96</v>
      </c>
      <c r="H133" s="86"/>
      <c r="I133" s="197"/>
      <c r="J133" s="203" t="s">
        <v>181</v>
      </c>
      <c r="K133" s="199" t="n">
        <f aca="false">Equations!F20</f>
        <v>164.666666666667</v>
      </c>
      <c r="L133" s="200" t="s">
        <v>44</v>
      </c>
      <c r="M133" s="122"/>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151"/>
    </row>
    <row r="134" customFormat="false" ht="15" hidden="false" customHeight="true" outlineLevel="0" collapsed="false">
      <c r="A134" s="30"/>
      <c r="B134" s="91"/>
      <c r="C134" s="86"/>
      <c r="D134" s="86"/>
      <c r="E134" s="188" t="s">
        <v>182</v>
      </c>
      <c r="F134" s="201" t="n">
        <f aca="false">F107</f>
        <v>95.3</v>
      </c>
      <c r="G134" s="190" t="s">
        <v>96</v>
      </c>
      <c r="H134" s="86"/>
      <c r="I134" s="197"/>
      <c r="J134" s="198" t="s">
        <v>183</v>
      </c>
      <c r="K134" s="204" t="n">
        <f aca="false">IF(F73="YES",Equations!F57,Start_up!M2)</f>
        <v>32.5</v>
      </c>
      <c r="L134" s="200" t="s">
        <v>108</v>
      </c>
      <c r="M134" s="122"/>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151"/>
    </row>
    <row r="135" customFormat="false" ht="15" hidden="false" customHeight="true" outlineLevel="0" collapsed="false">
      <c r="A135" s="30"/>
      <c r="B135" s="91"/>
      <c r="C135" s="86"/>
      <c r="D135" s="86"/>
      <c r="E135" s="188" t="s">
        <v>184</v>
      </c>
      <c r="F135" s="205" t="n">
        <f aca="false">IF(F96="Option A","N/A",F108)</f>
        <v>3.74</v>
      </c>
      <c r="G135" s="190" t="s">
        <v>96</v>
      </c>
      <c r="H135" s="86"/>
      <c r="I135" s="197"/>
      <c r="J135" s="198" t="s">
        <v>185</v>
      </c>
      <c r="K135" s="199" t="n">
        <f aca="false">TINSERT</f>
        <v>8.125</v>
      </c>
      <c r="L135" s="200" t="s">
        <v>108</v>
      </c>
      <c r="M135" s="122"/>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151"/>
    </row>
    <row r="136" customFormat="false" ht="15" hidden="false" customHeight="true" outlineLevel="0" collapsed="false">
      <c r="A136" s="30"/>
      <c r="B136" s="91"/>
      <c r="C136" s="86"/>
      <c r="D136" s="86"/>
      <c r="E136" s="87" t="s">
        <v>186</v>
      </c>
      <c r="F136" s="123" t="n">
        <f aca="false">F123</f>
        <v>150</v>
      </c>
      <c r="G136" s="190" t="s">
        <v>96</v>
      </c>
      <c r="H136" s="86"/>
      <c r="I136" s="197"/>
      <c r="J136" s="198" t="s">
        <v>187</v>
      </c>
      <c r="K136" s="204" t="n">
        <f aca="false">IF(F73="YES", F92,F79)</f>
        <v>0.52</v>
      </c>
      <c r="L136" s="200" t="s">
        <v>108</v>
      </c>
      <c r="M136" s="122"/>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151"/>
    </row>
    <row r="137" customFormat="false" ht="15" hidden="false" customHeight="true" outlineLevel="0" collapsed="false">
      <c r="A137" s="30"/>
      <c r="B137" s="91"/>
      <c r="C137" s="86"/>
      <c r="D137" s="86"/>
      <c r="E137" s="87" t="s">
        <v>188</v>
      </c>
      <c r="F137" s="123" t="n">
        <f aca="false">F124</f>
        <v>10.5</v>
      </c>
      <c r="G137" s="190" t="s">
        <v>96</v>
      </c>
      <c r="H137" s="86"/>
      <c r="I137" s="197"/>
      <c r="J137" s="198" t="s">
        <v>189</v>
      </c>
      <c r="K137" s="206" t="n">
        <f aca="false">F95</f>
        <v>82.8771428571429</v>
      </c>
      <c r="L137" s="200" t="s">
        <v>108</v>
      </c>
      <c r="M137" s="122"/>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151"/>
    </row>
    <row r="138" customFormat="false" ht="15" hidden="false" customHeight="true" outlineLevel="0" collapsed="false">
      <c r="A138" s="30"/>
      <c r="B138" s="91"/>
      <c r="C138" s="86"/>
      <c r="D138" s="86"/>
      <c r="E138" s="87" t="s">
        <v>190</v>
      </c>
      <c r="F138" s="207" t="n">
        <f aca="false">IF(F73="YES", F86, "DNP")</f>
        <v>13</v>
      </c>
      <c r="G138" s="190" t="s">
        <v>112</v>
      </c>
      <c r="H138" s="86"/>
      <c r="I138" s="197"/>
      <c r="J138" s="208" t="s">
        <v>191</v>
      </c>
      <c r="K138" s="206" t="n">
        <f aca="false">E111</f>
        <v>37.8278260869565</v>
      </c>
      <c r="L138" s="200" t="s">
        <v>40</v>
      </c>
      <c r="M138" s="122"/>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151"/>
    </row>
    <row r="139" customFormat="false" ht="15" hidden="false" customHeight="true" outlineLevel="0" collapsed="false">
      <c r="A139" s="30"/>
      <c r="B139" s="91"/>
      <c r="C139" s="86"/>
      <c r="D139" s="86"/>
      <c r="E139" s="188" t="s">
        <v>192</v>
      </c>
      <c r="F139" s="209" t="n">
        <v>0.01</v>
      </c>
      <c r="G139" s="190" t="s">
        <v>46</v>
      </c>
      <c r="H139" s="86"/>
      <c r="I139" s="197"/>
      <c r="J139" s="208" t="s">
        <v>193</v>
      </c>
      <c r="K139" s="206" t="n">
        <f aca="false">E112</f>
        <v>34.8278260869565</v>
      </c>
      <c r="L139" s="200" t="s">
        <v>40</v>
      </c>
      <c r="M139" s="122"/>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151"/>
    </row>
    <row r="140" customFormat="false" ht="15" hidden="false" customHeight="true" outlineLevel="0" collapsed="false">
      <c r="A140" s="30"/>
      <c r="B140" s="91"/>
      <c r="C140" s="86"/>
      <c r="D140" s="86"/>
      <c r="E140" s="87" t="s">
        <v>194</v>
      </c>
      <c r="F140" s="207" t="n">
        <v>1</v>
      </c>
      <c r="G140" s="190" t="s">
        <v>46</v>
      </c>
      <c r="H140" s="86"/>
      <c r="I140" s="197"/>
      <c r="J140" s="208" t="s">
        <v>195</v>
      </c>
      <c r="K140" s="206" t="n">
        <f aca="false">E113</f>
        <v>65.1439572192513</v>
      </c>
      <c r="L140" s="200" t="s">
        <v>40</v>
      </c>
      <c r="M140" s="122"/>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151"/>
    </row>
    <row r="141" customFormat="false" ht="15" hidden="false" customHeight="true" outlineLevel="0" collapsed="false">
      <c r="A141" s="30"/>
      <c r="B141" s="91"/>
      <c r="C141" s="86"/>
      <c r="D141" s="86"/>
      <c r="E141" s="87" t="s">
        <v>196</v>
      </c>
      <c r="F141" s="207" t="n">
        <v>1</v>
      </c>
      <c r="G141" s="190" t="s">
        <v>46</v>
      </c>
      <c r="H141" s="86"/>
      <c r="I141" s="197"/>
      <c r="J141" s="208" t="s">
        <v>197</v>
      </c>
      <c r="K141" s="206" t="n">
        <f aca="false">E114</f>
        <v>63.1426572192513</v>
      </c>
      <c r="L141" s="200" t="s">
        <v>40</v>
      </c>
      <c r="M141" s="122"/>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151"/>
    </row>
    <row r="142" customFormat="false" ht="15" hidden="false" customHeight="true" outlineLevel="0" collapsed="false">
      <c r="A142" s="30"/>
      <c r="B142" s="91"/>
      <c r="C142" s="86"/>
      <c r="D142" s="86"/>
      <c r="E142" s="87" t="s">
        <v>198</v>
      </c>
      <c r="F142" s="201" t="str">
        <f aca="false">IF(F38="26 mV","VDD","GND")</f>
        <v>VDD</v>
      </c>
      <c r="G142" s="190"/>
      <c r="H142" s="86"/>
      <c r="I142" s="197"/>
      <c r="J142" s="208" t="s">
        <v>199</v>
      </c>
      <c r="K142" s="39" t="n">
        <f aca="false">Equations!F104</f>
        <v>37.6028571428571</v>
      </c>
      <c r="L142" s="200" t="s">
        <v>40</v>
      </c>
      <c r="M142" s="122"/>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151"/>
    </row>
    <row r="143" customFormat="false" ht="15" hidden="false" customHeight="true" outlineLevel="0" collapsed="false">
      <c r="A143" s="30"/>
      <c r="B143" s="91"/>
      <c r="C143" s="86"/>
      <c r="D143" s="86"/>
      <c r="E143" s="87" t="s">
        <v>200</v>
      </c>
      <c r="F143" s="207" t="str">
        <f aca="false">IF(F52="1.9 x Current Limit","VDD","GND")</f>
        <v>VDD</v>
      </c>
      <c r="G143" s="190"/>
      <c r="H143" s="86"/>
      <c r="I143" s="210"/>
      <c r="J143" s="211" t="s">
        <v>201</v>
      </c>
      <c r="K143" s="212" t="n">
        <f aca="false">Equations!F107/1000</f>
        <v>3</v>
      </c>
      <c r="L143" s="213" t="s">
        <v>40</v>
      </c>
      <c r="M143" s="122"/>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151"/>
    </row>
    <row r="144" customFormat="false" ht="15" hidden="false" customHeight="true" outlineLevel="0" collapsed="false">
      <c r="A144" s="30"/>
      <c r="B144" s="91"/>
      <c r="C144" s="86"/>
      <c r="D144" s="86"/>
      <c r="E144" s="87" t="s">
        <v>202</v>
      </c>
      <c r="F144" s="214" t="str">
        <f aca="false">IF(F51="Retry","GND","VDD")</f>
        <v>GND</v>
      </c>
      <c r="G144" s="190"/>
      <c r="H144" s="86"/>
      <c r="I144" s="109"/>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196"/>
    </row>
    <row r="145" customFormat="false" ht="15" hidden="false" customHeight="true" outlineLevel="0" collapsed="false">
      <c r="A145" s="30"/>
      <c r="B145" s="91"/>
      <c r="C145" s="86"/>
      <c r="D145" s="86"/>
      <c r="E145" s="87" t="s">
        <v>203</v>
      </c>
      <c r="F145" s="214" t="s">
        <v>204</v>
      </c>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151"/>
    </row>
    <row r="146" customFormat="false" ht="15" hidden="false" customHeight="true" outlineLevel="0" collapsed="false">
      <c r="A146" s="30"/>
      <c r="B146" s="91"/>
      <c r="C146" s="86"/>
      <c r="D146" s="86"/>
      <c r="E146" s="87" t="s">
        <v>205</v>
      </c>
      <c r="F146" s="214" t="str">
        <f aca="false">IF(F73="YES","1N4148W-7-F","DNP")</f>
        <v>1N4148W-7-F</v>
      </c>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151"/>
      <c r="AN146" s="53"/>
    </row>
    <row r="147" customFormat="false" ht="15" hidden="false" customHeight="true" outlineLevel="0" collapsed="false">
      <c r="A147" s="30"/>
      <c r="B147" s="91"/>
      <c r="C147" s="86"/>
      <c r="D147" s="86"/>
      <c r="E147" s="87" t="s">
        <v>206</v>
      </c>
      <c r="F147" s="214" t="str">
        <f aca="false">F53</f>
        <v>PSMN4R8-100BSE</v>
      </c>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151"/>
      <c r="AN147" s="53"/>
    </row>
    <row r="148" customFormat="false" ht="15" hidden="false" customHeight="true" outlineLevel="0" collapsed="false">
      <c r="A148" s="30"/>
      <c r="B148" s="91"/>
      <c r="C148" s="86"/>
      <c r="D148" s="86"/>
      <c r="E148" s="87" t="s">
        <v>207</v>
      </c>
      <c r="F148" s="214" t="s">
        <v>208</v>
      </c>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151"/>
      <c r="AN148" s="53"/>
    </row>
    <row r="149" customFormat="false" ht="15" hidden="false" customHeight="true" outlineLevel="0" collapsed="false">
      <c r="A149" s="30"/>
      <c r="B149" s="91"/>
      <c r="C149" s="86"/>
      <c r="D149" s="86"/>
      <c r="E149" s="87" t="s">
        <v>209</v>
      </c>
      <c r="F149" s="214" t="str">
        <f aca="false">IF(F73="YES","MMBT5401LT1G","DNP")</f>
        <v>MMBT5401LT1G</v>
      </c>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151"/>
      <c r="AN149" s="53"/>
    </row>
    <row r="150" customFormat="false" ht="15" hidden="false" customHeight="true" outlineLevel="0" collapsed="false">
      <c r="A150" s="30"/>
      <c r="B150" s="91"/>
      <c r="C150" s="86"/>
      <c r="D150" s="86"/>
      <c r="E150" s="87" t="s">
        <v>210</v>
      </c>
      <c r="F150" s="214" t="s">
        <v>211</v>
      </c>
      <c r="G150" s="190"/>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90"/>
      <c r="AN150" s="53"/>
    </row>
    <row r="151" customFormat="false" ht="15" hidden="false" customHeight="true" outlineLevel="0" collapsed="false">
      <c r="A151" s="30"/>
      <c r="B151" s="91"/>
      <c r="C151" s="86"/>
      <c r="D151" s="86"/>
      <c r="E151" s="87"/>
      <c r="F151" s="215"/>
      <c r="G151" s="190"/>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90"/>
      <c r="AN151" s="53"/>
    </row>
    <row r="152" customFormat="false" ht="15.6" hidden="false" customHeight="false" outlineLevel="0" collapsed="false">
      <c r="A152" s="30"/>
      <c r="B152" s="216" t="s">
        <v>212</v>
      </c>
      <c r="C152" s="217" t="s">
        <v>213</v>
      </c>
      <c r="D152" s="218"/>
      <c r="E152" s="217"/>
      <c r="F152" s="219"/>
      <c r="G152" s="40"/>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90"/>
      <c r="AN152" s="53"/>
    </row>
    <row r="153" customFormat="false" ht="13.2" hidden="false" customHeight="false" outlineLevel="0" collapsed="false">
      <c r="A153" s="30"/>
      <c r="B153" s="91"/>
      <c r="C153" s="217" t="s">
        <v>214</v>
      </c>
      <c r="D153" s="86"/>
      <c r="E153" s="217"/>
      <c r="F153" s="86"/>
      <c r="G153" s="40"/>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90"/>
    </row>
    <row r="154" customFormat="false" ht="13.2" hidden="false" customHeight="false" outlineLevel="0" collapsed="false">
      <c r="A154" s="30"/>
      <c r="B154" s="91"/>
      <c r="C154" s="217" t="s">
        <v>215</v>
      </c>
      <c r="D154" s="86"/>
      <c r="E154" s="217"/>
      <c r="F154" s="86"/>
      <c r="G154" s="40"/>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90"/>
    </row>
    <row r="155" customFormat="false" ht="13.8" hidden="false" customHeight="false" outlineLevel="0" collapsed="false">
      <c r="A155" s="30"/>
      <c r="B155" s="97"/>
      <c r="C155" s="98"/>
      <c r="D155" s="98"/>
      <c r="E155" s="220"/>
      <c r="F155" s="98"/>
      <c r="G155" s="221"/>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102"/>
    </row>
    <row r="156" customFormat="false" ht="13.2" hidden="false" customHeight="false" outlineLevel="0" collapsed="false">
      <c r="A156" s="30"/>
      <c r="B156" s="30"/>
      <c r="C156" s="30"/>
      <c r="D156" s="30"/>
      <c r="E156" s="30"/>
      <c r="F156" s="222"/>
      <c r="G156" s="32"/>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customFormat="false" ht="13.8" hidden="false" customHeight="false" outlineLevel="0" collapsed="false">
      <c r="A157" s="30"/>
      <c r="B157" s="223"/>
      <c r="C157" s="30"/>
      <c r="D157" s="30"/>
      <c r="E157" s="30"/>
      <c r="F157" s="30"/>
      <c r="G157" s="32"/>
      <c r="H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customFormat="false" ht="13.2" hidden="false" customHeight="false" outlineLevel="0" collapsed="false">
      <c r="A158" s="30"/>
      <c r="B158" s="30"/>
      <c r="C158" s="30"/>
      <c r="D158" s="30"/>
      <c r="E158" s="30"/>
      <c r="F158" s="30"/>
      <c r="G158" s="32"/>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customFormat="false" ht="13.2" hidden="false" customHeight="false" outlineLevel="0" collapsed="false">
      <c r="A159" s="30"/>
      <c r="B159" s="30"/>
      <c r="C159" s="30"/>
      <c r="D159" s="30"/>
      <c r="E159" s="30"/>
      <c r="F159" s="30"/>
      <c r="G159" s="32"/>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customFormat="false" ht="13.2" hidden="false" customHeight="false" outlineLevel="0" collapsed="false">
      <c r="A160" s="30"/>
      <c r="B160" s="30"/>
      <c r="C160" s="30"/>
      <c r="D160" s="30"/>
      <c r="E160" s="30"/>
      <c r="F160" s="30"/>
      <c r="G160" s="32"/>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customFormat="false" ht="13.2" hidden="false" customHeight="false" outlineLevel="0" collapsed="false">
      <c r="A161" s="30"/>
      <c r="B161" s="30"/>
      <c r="C161" s="30"/>
      <c r="D161" s="30"/>
      <c r="E161" s="30"/>
      <c r="F161" s="30"/>
      <c r="G161" s="32"/>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customFormat="false" ht="13.2" hidden="false" customHeight="false" outlineLevel="0" collapsed="false">
      <c r="A162" s="30"/>
      <c r="B162" s="30"/>
      <c r="C162" s="30"/>
      <c r="D162" s="30"/>
      <c r="E162" s="30"/>
      <c r="F162" s="30"/>
      <c r="G162" s="32"/>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customFormat="false" ht="13.2" hidden="false" customHeight="false" outlineLevel="0" collapsed="false">
      <c r="A163" s="30"/>
      <c r="B163" s="30"/>
      <c r="C163" s="30"/>
      <c r="D163" s="30"/>
      <c r="E163" s="30"/>
      <c r="F163" s="30"/>
      <c r="G163" s="32"/>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customFormat="false" ht="13.2" hidden="false" customHeight="false" outlineLevel="0" collapsed="false">
      <c r="A164" s="30"/>
      <c r="B164" s="30"/>
      <c r="C164" s="30"/>
      <c r="D164" s="30"/>
      <c r="E164" s="30"/>
      <c r="F164" s="30"/>
      <c r="G164" s="32"/>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customFormat="false" ht="13.2" hidden="false" customHeight="false" outlineLevel="0" collapsed="false">
      <c r="A165" s="30"/>
      <c r="B165" s="30"/>
      <c r="C165" s="30"/>
      <c r="D165" s="30"/>
      <c r="E165" s="30"/>
      <c r="F165" s="30"/>
      <c r="G165" s="32"/>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customFormat="false" ht="13.2" hidden="false" customHeight="false" outlineLevel="0" collapsed="false">
      <c r="A166" s="30"/>
      <c r="B166" s="30"/>
      <c r="C166" s="30"/>
      <c r="D166" s="30"/>
      <c r="E166" s="30"/>
      <c r="F166" s="30"/>
      <c r="G166" s="32"/>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customFormat="false" ht="13.2" hidden="false" customHeight="false" outlineLevel="0" collapsed="false">
      <c r="A167" s="30"/>
      <c r="B167" s="30"/>
      <c r="C167" s="30"/>
      <c r="D167" s="30"/>
      <c r="E167" s="30"/>
      <c r="F167" s="30"/>
      <c r="G167" s="32"/>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customFormat="false" ht="13.2" hidden="false" customHeight="false" outlineLevel="0" collapsed="false">
      <c r="A168" s="30"/>
      <c r="B168" s="30"/>
      <c r="C168" s="30"/>
      <c r="D168" s="30"/>
      <c r="E168" s="30"/>
      <c r="F168" s="30"/>
      <c r="G168" s="32"/>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customFormat="false" ht="13.2" hidden="false" customHeight="false" outlineLevel="0" collapsed="false">
      <c r="A169" s="30"/>
      <c r="B169" s="30"/>
      <c r="C169" s="30"/>
      <c r="D169" s="30"/>
      <c r="E169" s="30"/>
      <c r="F169" s="30"/>
      <c r="G169" s="32"/>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customFormat="false" ht="13.2" hidden="false" customHeight="false" outlineLevel="0" collapsed="false">
      <c r="A170" s="30"/>
      <c r="B170" s="30"/>
      <c r="C170" s="30"/>
      <c r="D170" s="30"/>
      <c r="E170" s="30"/>
      <c r="F170" s="30"/>
      <c r="G170" s="32"/>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customFormat="false" ht="13.2" hidden="false" customHeight="false" outlineLevel="0" collapsed="false">
      <c r="A171" s="30"/>
      <c r="B171" s="30"/>
      <c r="C171" s="30"/>
      <c r="D171" s="30"/>
      <c r="E171" s="30"/>
      <c r="F171" s="30"/>
      <c r="G171" s="32"/>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customFormat="false" ht="13.2" hidden="false" customHeight="false" outlineLevel="0" collapsed="false">
      <c r="A172" s="30"/>
      <c r="B172" s="30"/>
      <c r="C172" s="30"/>
      <c r="D172" s="30"/>
      <c r="E172" s="30"/>
      <c r="F172" s="30"/>
      <c r="G172" s="32"/>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customFormat="false" ht="13.2" hidden="false" customHeight="false" outlineLevel="0" collapsed="false">
      <c r="A173" s="30"/>
      <c r="B173" s="30"/>
      <c r="C173" s="30"/>
      <c r="D173" s="30"/>
      <c r="E173" s="30"/>
      <c r="F173" s="30"/>
      <c r="G173" s="32"/>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customFormat="false" ht="13.2" hidden="false" customHeight="false" outlineLevel="0" collapsed="false">
      <c r="A174" s="30"/>
      <c r="B174" s="30"/>
      <c r="C174" s="30"/>
      <c r="D174" s="30"/>
      <c r="E174" s="30"/>
      <c r="F174" s="30"/>
      <c r="G174" s="32"/>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customFormat="false" ht="13.2" hidden="false" customHeight="false" outlineLevel="0" collapsed="false">
      <c r="A175" s="30"/>
      <c r="B175" s="30"/>
      <c r="C175" s="30"/>
      <c r="D175" s="30"/>
      <c r="E175" s="30"/>
      <c r="F175" s="30"/>
      <c r="G175" s="32"/>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customFormat="false" ht="13.2" hidden="false" customHeight="false" outlineLevel="0" collapsed="false">
      <c r="A176" s="30"/>
      <c r="B176" s="30"/>
      <c r="C176" s="30"/>
      <c r="D176" s="30"/>
      <c r="E176" s="30"/>
      <c r="F176" s="30"/>
      <c r="G176" s="32"/>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customFormat="false" ht="13.2" hidden="false" customHeight="false" outlineLevel="0" collapsed="false">
      <c r="A177" s="30"/>
      <c r="B177" s="30"/>
      <c r="C177" s="30"/>
      <c r="D177" s="30"/>
      <c r="E177" s="30"/>
      <c r="F177" s="30"/>
      <c r="G177" s="32"/>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customFormat="false" ht="13.2" hidden="false" customHeight="false" outlineLevel="0" collapsed="false">
      <c r="A178" s="30"/>
      <c r="B178" s="30"/>
      <c r="C178" s="30"/>
      <c r="D178" s="30"/>
      <c r="E178" s="30"/>
      <c r="F178" s="30"/>
      <c r="G178" s="32"/>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customFormat="false" ht="13.2" hidden="false" customHeight="false" outlineLevel="0" collapsed="false">
      <c r="A179" s="30"/>
      <c r="B179" s="30"/>
      <c r="C179" s="30"/>
      <c r="D179" s="30"/>
      <c r="E179" s="30"/>
      <c r="F179" s="30"/>
      <c r="G179" s="32"/>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customFormat="false" ht="13.2" hidden="false" customHeight="false" outlineLevel="0" collapsed="false">
      <c r="A180" s="30"/>
      <c r="B180" s="30"/>
      <c r="C180" s="30"/>
      <c r="D180" s="30"/>
      <c r="E180" s="30"/>
      <c r="F180" s="30"/>
      <c r="G180" s="32"/>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customFormat="false" ht="13.2" hidden="false" customHeight="false" outlineLevel="0" collapsed="false">
      <c r="A181" s="30"/>
      <c r="B181" s="30"/>
      <c r="C181" s="30"/>
      <c r="D181" s="30"/>
      <c r="E181" s="30"/>
      <c r="F181" s="30"/>
      <c r="G181" s="32"/>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customFormat="false" ht="13.2" hidden="false" customHeight="false" outlineLevel="0" collapsed="false">
      <c r="A182" s="30"/>
      <c r="B182" s="30"/>
      <c r="C182" s="30"/>
      <c r="D182" s="30"/>
      <c r="E182" s="30"/>
      <c r="F182" s="30"/>
      <c r="G182" s="32"/>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customFormat="false" ht="13.8" hidden="false" customHeight="false" outlineLevel="0" collapsed="false">
      <c r="A183" s="30"/>
      <c r="B183" s="224"/>
      <c r="C183" s="30"/>
      <c r="D183" s="30"/>
      <c r="E183" s="30"/>
      <c r="F183" s="30"/>
      <c r="G183" s="32"/>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customFormat="false" ht="13.2" hidden="false" customHeight="false" outlineLevel="0" collapsed="false">
      <c r="A184" s="30"/>
      <c r="B184" s="30"/>
      <c r="C184" s="30"/>
      <c r="D184" s="30"/>
      <c r="E184" s="30"/>
      <c r="F184" s="30"/>
      <c r="G184" s="32"/>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customFormat="false" ht="13.2" hidden="false" customHeight="false" outlineLevel="0" collapsed="false">
      <c r="A185" s="30"/>
      <c r="B185" s="30"/>
      <c r="C185" s="30"/>
      <c r="D185" s="30"/>
      <c r="E185" s="30"/>
      <c r="F185" s="30"/>
      <c r="G185" s="32"/>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customFormat="false" ht="13.2" hidden="false" customHeight="false" outlineLevel="0" collapsed="false">
      <c r="A186" s="30"/>
      <c r="B186" s="30"/>
      <c r="C186" s="30"/>
      <c r="D186" s="30"/>
      <c r="E186" s="30"/>
      <c r="F186" s="30"/>
      <c r="G186" s="32"/>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customFormat="false" ht="13.2" hidden="false" customHeight="false" outlineLevel="0" collapsed="false">
      <c r="A187" s="30"/>
      <c r="B187" s="30"/>
      <c r="C187" s="30"/>
      <c r="D187" s="30"/>
      <c r="E187" s="30"/>
      <c r="F187" s="30"/>
      <c r="G187" s="32"/>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customFormat="false" ht="13.2" hidden="false" customHeight="false" outlineLevel="0" collapsed="false">
      <c r="A188" s="30"/>
      <c r="B188" s="30"/>
      <c r="D188" s="30"/>
      <c r="E188" s="30"/>
      <c r="F188" s="30"/>
      <c r="G188" s="32"/>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customFormat="false" ht="13.2" hidden="false" customHeight="false" outlineLevel="0" collapsed="false">
      <c r="A189" s="30"/>
      <c r="B189" s="30"/>
      <c r="C189" s="30"/>
      <c r="D189" s="30"/>
      <c r="E189" s="30"/>
      <c r="F189" s="30"/>
      <c r="G189" s="32"/>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customFormat="false" ht="13.2" hidden="false" customHeight="false" outlineLevel="0" collapsed="false">
      <c r="A190" s="30"/>
      <c r="B190" s="30"/>
      <c r="C190" s="30"/>
      <c r="D190" s="30"/>
      <c r="E190" s="30"/>
      <c r="F190" s="30"/>
      <c r="G190" s="32"/>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customFormat="false" ht="13.2" hidden="false" customHeight="false" outlineLevel="0" collapsed="false">
      <c r="A191" s="30"/>
      <c r="B191" s="30"/>
      <c r="C191" s="30"/>
      <c r="D191" s="30"/>
      <c r="E191" s="30"/>
      <c r="F191" s="30"/>
      <c r="G191" s="32"/>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customFormat="false" ht="13.2" hidden="false" customHeight="false" outlineLevel="0" collapsed="false">
      <c r="A192" s="30"/>
      <c r="B192" s="30"/>
      <c r="C192" s="30"/>
      <c r="D192" s="30"/>
      <c r="E192" s="30"/>
      <c r="F192" s="30"/>
      <c r="G192" s="32"/>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customFormat="false" ht="13.2" hidden="false" customHeight="false" outlineLevel="0" collapsed="false">
      <c r="A193" s="30"/>
      <c r="B193" s="30"/>
      <c r="C193" s="30"/>
      <c r="D193" s="30"/>
      <c r="E193" s="30"/>
      <c r="F193" s="30"/>
      <c r="G193" s="32"/>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customFormat="false" ht="13.2" hidden="false" customHeight="false" outlineLevel="0" collapsed="false">
      <c r="A194" s="30"/>
      <c r="B194" s="30"/>
      <c r="C194" s="30"/>
      <c r="D194" s="30"/>
      <c r="E194" s="30"/>
      <c r="F194" s="30"/>
      <c r="G194" s="32"/>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customFormat="false" ht="13.2" hidden="false" customHeight="false" outlineLevel="0" collapsed="false">
      <c r="A195" s="30"/>
      <c r="B195" s="30"/>
      <c r="C195" s="30"/>
      <c r="D195" s="30"/>
      <c r="E195" s="30"/>
      <c r="F195" s="30"/>
      <c r="G195" s="32"/>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customFormat="false" ht="13.2" hidden="false" customHeight="false" outlineLevel="0" collapsed="false">
      <c r="A196" s="30"/>
      <c r="B196" s="30"/>
      <c r="C196" s="30"/>
      <c r="D196" s="30"/>
      <c r="E196" s="30"/>
      <c r="F196" s="30"/>
      <c r="G196" s="32"/>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customFormat="false" ht="13.2" hidden="false" customHeight="false" outlineLevel="0" collapsed="false">
      <c r="A197" s="30"/>
      <c r="B197" s="30"/>
      <c r="C197" s="30"/>
      <c r="D197" s="30"/>
      <c r="E197" s="30"/>
      <c r="F197" s="30"/>
      <c r="G197" s="32"/>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customFormat="false" ht="13.2" hidden="false" customHeight="false" outlineLevel="0" collapsed="false">
      <c r="A198" s="30"/>
      <c r="B198" s="30"/>
      <c r="C198" s="30"/>
      <c r="D198" s="30"/>
      <c r="E198" s="30"/>
      <c r="F198" s="30"/>
      <c r="G198" s="32"/>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customFormat="false" ht="13.2" hidden="false" customHeight="false" outlineLevel="0" collapsed="false">
      <c r="A199" s="30"/>
      <c r="B199" s="30"/>
      <c r="C199" s="30"/>
      <c r="D199" s="30"/>
      <c r="E199" s="30"/>
      <c r="F199" s="30"/>
      <c r="G199" s="32"/>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customFormat="false" ht="13.2" hidden="false" customHeight="false" outlineLevel="0" collapsed="false">
      <c r="A200" s="30"/>
      <c r="B200" s="30"/>
      <c r="C200" s="30"/>
      <c r="D200" s="30"/>
      <c r="E200" s="30"/>
      <c r="F200" s="30"/>
      <c r="G200" s="32"/>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customFormat="false" ht="13.2" hidden="false" customHeight="false" outlineLevel="0" collapsed="false">
      <c r="A201" s="30"/>
      <c r="B201" s="30"/>
      <c r="C201" s="30"/>
      <c r="D201" s="30"/>
      <c r="E201" s="30"/>
      <c r="F201" s="30"/>
      <c r="G201" s="32"/>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customFormat="false" ht="13.2" hidden="false" customHeight="false" outlineLevel="0" collapsed="false">
      <c r="A202" s="30"/>
      <c r="B202" s="30"/>
      <c r="C202" s="30"/>
      <c r="D202" s="30"/>
      <c r="E202" s="30"/>
      <c r="F202" s="30"/>
      <c r="G202" s="32"/>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customFormat="false" ht="13.2" hidden="false" customHeight="false" outlineLevel="0" collapsed="false">
      <c r="A203" s="30"/>
      <c r="B203" s="30"/>
      <c r="C203" s="30"/>
      <c r="D203" s="30"/>
      <c r="E203" s="30"/>
      <c r="F203" s="30"/>
      <c r="G203" s="32"/>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customFormat="false" ht="13.2" hidden="false" customHeight="false" outlineLevel="0" collapsed="false">
      <c r="A204" s="30"/>
      <c r="B204" s="30"/>
      <c r="C204" s="30"/>
      <c r="D204" s="30"/>
      <c r="E204" s="30"/>
      <c r="F204" s="30"/>
      <c r="G204" s="32"/>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customFormat="false" ht="13.2" hidden="false" customHeight="false" outlineLevel="0" collapsed="false">
      <c r="A205" s="30"/>
      <c r="B205" s="30"/>
      <c r="C205" s="30"/>
      <c r="D205" s="30"/>
      <c r="E205" s="30"/>
      <c r="F205" s="30"/>
      <c r="G205" s="32"/>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customFormat="false" ht="13.2" hidden="false" customHeight="false" outlineLevel="0" collapsed="false">
      <c r="A206" s="30"/>
      <c r="B206" s="30"/>
      <c r="C206" s="30"/>
      <c r="D206" s="30"/>
      <c r="E206" s="30"/>
      <c r="F206" s="30"/>
      <c r="G206" s="32"/>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customFormat="false" ht="13.2" hidden="false" customHeight="false" outlineLevel="0" collapsed="false">
      <c r="A207" s="30"/>
      <c r="B207" s="30"/>
      <c r="C207" s="30"/>
      <c r="D207" s="30"/>
      <c r="E207" s="30"/>
      <c r="F207" s="30"/>
      <c r="G207" s="32"/>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customFormat="false" ht="13.2" hidden="false" customHeight="false" outlineLevel="0" collapsed="false">
      <c r="A208" s="30"/>
      <c r="B208" s="30"/>
      <c r="C208" s="30"/>
      <c r="D208" s="30"/>
      <c r="E208" s="30"/>
      <c r="F208" s="30"/>
      <c r="G208" s="32"/>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customFormat="false" ht="13.2" hidden="false" customHeight="false" outlineLevel="0" collapsed="false">
      <c r="A209" s="30"/>
      <c r="B209" s="30"/>
      <c r="C209" s="30"/>
      <c r="D209" s="30"/>
      <c r="E209" s="30"/>
      <c r="F209" s="30"/>
      <c r="G209" s="32"/>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customFormat="false" ht="13.2" hidden="false" customHeight="false" outlineLevel="0" collapsed="false">
      <c r="A210" s="30"/>
      <c r="B210" s="30"/>
      <c r="C210" s="30"/>
      <c r="D210" s="30"/>
      <c r="E210" s="30"/>
      <c r="F210" s="30"/>
      <c r="G210" s="32"/>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customFormat="false" ht="13.2" hidden="false" customHeight="false" outlineLevel="0" collapsed="false">
      <c r="A211" s="30"/>
      <c r="B211" s="30"/>
      <c r="C211" s="30"/>
      <c r="D211" s="30"/>
      <c r="E211" s="30"/>
      <c r="F211" s="30"/>
      <c r="G211" s="32"/>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customFormat="false" ht="13.2" hidden="false" customHeight="false" outlineLevel="0" collapsed="false">
      <c r="A212" s="30"/>
      <c r="B212" s="30"/>
      <c r="C212" s="30"/>
      <c r="D212" s="30"/>
      <c r="E212" s="30"/>
      <c r="F212" s="30"/>
      <c r="G212" s="32"/>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customFormat="false" ht="13.2" hidden="false" customHeight="false" outlineLevel="0" collapsed="false">
      <c r="A213" s="30"/>
      <c r="B213" s="30"/>
      <c r="C213" s="30"/>
      <c r="D213" s="30"/>
      <c r="E213" s="30"/>
      <c r="F213" s="30"/>
      <c r="G213" s="32"/>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customFormat="false" ht="13.2" hidden="false" customHeight="false" outlineLevel="0" collapsed="false">
      <c r="A214" s="30"/>
      <c r="B214" s="30"/>
      <c r="C214" s="30"/>
      <c r="D214" s="30"/>
      <c r="E214" s="30"/>
      <c r="F214" s="30"/>
      <c r="G214" s="32"/>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customFormat="false" ht="13.2" hidden="false" customHeight="false" outlineLevel="0" collapsed="false">
      <c r="A215" s="30"/>
      <c r="B215" s="30"/>
      <c r="C215" s="30"/>
      <c r="D215" s="30"/>
      <c r="E215" s="30"/>
      <c r="F215" s="30"/>
      <c r="G215" s="32"/>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customFormat="false" ht="13.2" hidden="false" customHeight="false" outlineLevel="0" collapsed="false">
      <c r="A216" s="30"/>
      <c r="B216" s="30"/>
      <c r="C216" s="30"/>
      <c r="D216" s="30"/>
      <c r="E216" s="30"/>
      <c r="F216" s="30"/>
      <c r="G216" s="32"/>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customFormat="false" ht="13.2" hidden="false" customHeight="false" outlineLevel="0" collapsed="false">
      <c r="A217" s="30"/>
      <c r="B217" s="30"/>
      <c r="C217" s="30"/>
      <c r="D217" s="30"/>
      <c r="E217" s="30"/>
      <c r="F217" s="30"/>
      <c r="G217" s="32"/>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customFormat="false" ht="13.2" hidden="false" customHeight="false" outlineLevel="0" collapsed="false">
      <c r="A218" s="30"/>
      <c r="B218" s="30"/>
      <c r="C218" s="30"/>
      <c r="D218" s="30"/>
      <c r="E218" s="30"/>
      <c r="F218" s="30"/>
      <c r="G218" s="32"/>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customFormat="false" ht="13.2" hidden="false" customHeight="false" outlineLevel="0" collapsed="false">
      <c r="A219" s="30"/>
      <c r="B219" s="30"/>
      <c r="C219" s="30"/>
      <c r="D219" s="30"/>
      <c r="E219" s="30"/>
      <c r="F219" s="30"/>
      <c r="G219" s="32"/>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customFormat="false" ht="13.2" hidden="false" customHeight="false" outlineLevel="0" collapsed="false">
      <c r="A220" s="30"/>
      <c r="B220" s="30"/>
      <c r="C220" s="30"/>
      <c r="D220" s="30"/>
      <c r="E220" s="30"/>
      <c r="F220" s="30"/>
      <c r="G220" s="32"/>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customFormat="false" ht="13.2" hidden="false" customHeight="false" outlineLevel="0" collapsed="false">
      <c r="A221" s="30"/>
      <c r="B221" s="30"/>
      <c r="C221" s="30"/>
      <c r="D221" s="30"/>
      <c r="E221" s="30"/>
      <c r="F221" s="30"/>
      <c r="G221" s="32"/>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customFormat="false" ht="13.2" hidden="false" customHeight="false" outlineLevel="0" collapsed="false">
      <c r="A222" s="30"/>
      <c r="B222" s="30"/>
      <c r="C222" s="30"/>
      <c r="D222" s="30"/>
      <c r="E222" s="30"/>
      <c r="F222" s="30"/>
      <c r="G222" s="32"/>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customFormat="false" ht="13.2" hidden="false" customHeight="false" outlineLevel="0" collapsed="false">
      <c r="A223" s="30"/>
      <c r="B223" s="30"/>
      <c r="C223" s="30"/>
      <c r="D223" s="30"/>
      <c r="E223" s="30"/>
      <c r="F223" s="30"/>
      <c r="G223" s="32"/>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customFormat="false" ht="13.2" hidden="false" customHeight="false" outlineLevel="0" collapsed="false">
      <c r="A224" s="30"/>
      <c r="B224" s="30"/>
      <c r="C224" s="30"/>
      <c r="D224" s="30"/>
      <c r="E224" s="30"/>
      <c r="F224" s="30"/>
      <c r="G224" s="32"/>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customFormat="false" ht="13.2" hidden="false" customHeight="false" outlineLevel="0" collapsed="false">
      <c r="A225" s="30"/>
      <c r="B225" s="30"/>
      <c r="C225" s="30"/>
      <c r="D225" s="30"/>
      <c r="E225" s="30"/>
      <c r="F225" s="30"/>
      <c r="G225" s="32"/>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customFormat="false" ht="13.2" hidden="false" customHeight="false" outlineLevel="0" collapsed="false">
      <c r="A226" s="30"/>
      <c r="B226" s="30"/>
      <c r="C226" s="30"/>
      <c r="D226" s="30"/>
      <c r="E226" s="30"/>
      <c r="F226" s="30"/>
      <c r="G226" s="32"/>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customFormat="false" ht="13.2" hidden="false" customHeight="false" outlineLevel="0" collapsed="false">
      <c r="A227" s="30"/>
      <c r="B227" s="30"/>
      <c r="C227" s="30"/>
      <c r="D227" s="30"/>
      <c r="E227" s="30"/>
      <c r="F227" s="30"/>
      <c r="G227" s="32"/>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sheetData>
  <mergeCells count="19">
    <mergeCell ref="A1:M1"/>
    <mergeCell ref="L2:M2"/>
    <mergeCell ref="D11:E12"/>
    <mergeCell ref="D14:G15"/>
    <mergeCell ref="B16:B19"/>
    <mergeCell ref="D16:I16"/>
    <mergeCell ref="D17:I17"/>
    <mergeCell ref="D18:I18"/>
    <mergeCell ref="D19:I19"/>
    <mergeCell ref="D22:F22"/>
    <mergeCell ref="D23:F23"/>
    <mergeCell ref="D24:F25"/>
    <mergeCell ref="B33:B34"/>
    <mergeCell ref="B45:B47"/>
    <mergeCell ref="AS60:AS66"/>
    <mergeCell ref="B63:B69"/>
    <mergeCell ref="I68:M69"/>
    <mergeCell ref="B86:C90"/>
    <mergeCell ref="C115:G117"/>
  </mergeCells>
  <conditionalFormatting sqref="F98">
    <cfRule type="cellIs" priority="2" operator="greaterThanOrEqual" aboveAverage="0" equalAverage="0" bottom="0" percent="0" rank="0" text="" dxfId="0">
      <formula>F97</formula>
    </cfRule>
  </conditionalFormatting>
  <conditionalFormatting sqref="G100">
    <cfRule type="expression" priority="3" aboveAverage="0" equalAverage="0" bottom="0" percent="0" rank="0" text="" dxfId="1">
      <formula>F96="Option A"</formula>
    </cfRule>
  </conditionalFormatting>
  <conditionalFormatting sqref="E100">
    <cfRule type="expression" priority="4" aboveAverage="0" equalAverage="0" bottom="0" percent="0" rank="0" text="" dxfId="2">
      <formula>F96="Option A"</formula>
    </cfRule>
  </conditionalFormatting>
  <conditionalFormatting sqref="F104">
    <cfRule type="expression" priority="5" aboveAverage="0" equalAverage="0" bottom="0" percent="0" rank="0" text="" dxfId="3">
      <formula>F96="Option A"</formula>
    </cfRule>
  </conditionalFormatting>
  <conditionalFormatting sqref="E104">
    <cfRule type="expression" priority="6" aboveAverage="0" equalAverage="0" bottom="0" percent="0" rank="0" text="" dxfId="4">
      <formula>F96="Option A"</formula>
    </cfRule>
  </conditionalFormatting>
  <conditionalFormatting sqref="F41">
    <cfRule type="cellIs" priority="7" operator="greaterThan" aboveAverage="0" equalAverage="0" bottom="0" percent="0" rank="0" text="" dxfId="5">
      <formula>200</formula>
    </cfRule>
  </conditionalFormatting>
  <conditionalFormatting sqref="D111:F114">
    <cfRule type="cellIs" priority="8" operator="notBetween" aboveAverage="0" equalAverage="0" bottom="0" percent="0" rank="0" text="" dxfId="6">
      <formula>10</formula>
      <formula>80</formula>
    </cfRule>
  </conditionalFormatting>
  <conditionalFormatting sqref="G104">
    <cfRule type="expression" priority="9" aboveAverage="0" equalAverage="0" bottom="0" percent="0" rank="0" text="" dxfId="7">
      <formula>F96="Option A"</formula>
    </cfRule>
  </conditionalFormatting>
  <conditionalFormatting sqref="G108">
    <cfRule type="expression" priority="10" aboveAverage="0" equalAverage="0" bottom="0" percent="0" rank="0" text="" dxfId="8">
      <formula>F96="Option A"</formula>
    </cfRule>
  </conditionalFormatting>
  <conditionalFormatting sqref="E108">
    <cfRule type="expression" priority="11" aboveAverage="0" equalAverage="0" bottom="0" percent="0" rank="0" text="" dxfId="9">
      <formula>F96="Option A"</formula>
    </cfRule>
  </conditionalFormatting>
  <conditionalFormatting sqref="F64">
    <cfRule type="colorScale" priority="12">
      <colorScale>
        <cfvo type="min" val="0"/>
        <cfvo type="formula" val="$AN$57*0.8"/>
        <cfvo type="formula" val="$AN$57"/>
        <color rgb="FFFFFFFF"/>
        <color rgb="FFFFC000"/>
        <color rgb="FFFF0000"/>
      </colorScale>
    </cfRule>
  </conditionalFormatting>
  <conditionalFormatting sqref="F42:F43">
    <cfRule type="cellIs" priority="13" operator="equal" aboveAverage="0" equalAverage="0" bottom="0" percent="0" rank="0" text="" dxfId="10">
      <formula>"NA"</formula>
    </cfRule>
    <cfRule type="cellIs" priority="14" operator="equal" aboveAverage="0" equalAverage="0" bottom="0" percent="0" rank="0" text="" dxfId="11">
      <formula>"""NA"""</formula>
    </cfRule>
  </conditionalFormatting>
  <conditionalFormatting sqref="F75">
    <cfRule type="cellIs" priority="15" operator="lessThan" aboveAverage="0" equalAverage="0" bottom="0" percent="0" rank="0" text="" dxfId="12">
      <formula>0.25</formula>
    </cfRule>
  </conditionalFormatting>
  <conditionalFormatting sqref="F78">
    <cfRule type="cellIs" priority="16" operator="lessThan" aboveAverage="0" equalAverage="0" bottom="0" percent="0" rank="0" text="" dxfId="13">
      <formula>$F$77</formula>
    </cfRule>
  </conditionalFormatting>
  <conditionalFormatting sqref="F80">
    <cfRule type="cellIs" priority="17" operator="lessThan" aboveAverage="0" equalAverage="0" bottom="0" percent="0" rank="0" text="" dxfId="14">
      <formula>1.1</formula>
    </cfRule>
    <cfRule type="cellIs" priority="18" operator="between" aboveAverage="0" equalAverage="0" bottom="0" percent="0" rank="0" text="" dxfId="15">
      <formula>1.1</formula>
      <formula>1.3</formula>
    </cfRule>
  </conditionalFormatting>
  <conditionalFormatting sqref="E73:F73">
    <cfRule type="expression" priority="19" aboveAverage="0" equalAverage="0" bottom="0" percent="0" rank="0" text="" dxfId="16">
      <formula>#ref!="Yes"</formula>
    </cfRule>
  </conditionalFormatting>
  <conditionalFormatting sqref="G84 G86:G91">
    <cfRule type="expression" priority="20" aboveAverage="0" equalAverage="0" bottom="0" percent="0" rank="0" text="" dxfId="17">
      <formula>#ref!="Yes"</formula>
    </cfRule>
  </conditionalFormatting>
  <conditionalFormatting sqref="E74:G80">
    <cfRule type="expression" priority="21" aboveAverage="0" equalAverage="0" bottom="0" percent="0" rank="0" text="" dxfId="18">
      <formula>$F$73="Yes"</formula>
    </cfRule>
  </conditionalFormatting>
  <conditionalFormatting sqref="D82:G93 E81:G81 B86">
    <cfRule type="expression" priority="22" aboveAverage="0" equalAverage="0" bottom="0" percent="0" rank="0" text="" dxfId="19">
      <formula>$F$73="NO"</formula>
    </cfRule>
  </conditionalFormatting>
  <conditionalFormatting sqref="F84 F87">
    <cfRule type="cellIs" priority="23" operator="greaterThanOrEqual" aboveAverage="0" equalAverage="0" bottom="0" percent="0" rank="0" text="" dxfId="20">
      <formula>$F$82</formula>
    </cfRule>
  </conditionalFormatting>
  <conditionalFormatting sqref="F88 F93">
    <cfRule type="cellIs" priority="24" operator="lessThan" aboveAverage="0" equalAverage="0" bottom="0" percent="0" rank="0" text="" dxfId="21">
      <formula>1.1</formula>
    </cfRule>
  </conditionalFormatting>
  <conditionalFormatting sqref="F69">
    <cfRule type="cellIs" priority="25" operator="lessThan" aboveAverage="0" equalAverage="0" bottom="0" percent="0" rank="0" text="" dxfId="22">
      <formula>$F$65</formula>
    </cfRule>
  </conditionalFormatting>
  <conditionalFormatting sqref="F81">
    <cfRule type="expression" priority="26" aboveAverage="0" equalAverage="0" bottom="0" percent="0" rank="0" text="" dxfId="23">
      <formula>#ref!="Yes"</formula>
    </cfRule>
  </conditionalFormatting>
  <conditionalFormatting sqref="E42:G46">
    <cfRule type="expression" priority="27" aboveAverage="0" equalAverage="0" bottom="0" percent="0" rank="0" text="" dxfId="24">
      <formula>IF($F$40="No", "TRUE", "FALSE")</formula>
    </cfRule>
  </conditionalFormatting>
  <conditionalFormatting sqref="F47:F49">
    <cfRule type="cellIs" priority="28" operator="lessThan" aboveAverage="0" equalAverage="0" bottom="0" percent="0" rank="0" text="" dxfId="25">
      <formula>$F$30</formula>
    </cfRule>
  </conditionalFormatting>
  <conditionalFormatting sqref="F82:F83">
    <cfRule type="containsText" priority="29" operator="containsText" aboveAverage="0" equalAverage="0" bottom="0" percent="0" rank="0" text="NA" dxfId="26"/>
  </conditionalFormatting>
  <conditionalFormatting sqref="F88">
    <cfRule type="cellIs" priority="30" operator="between" aboveAverage="0" equalAverage="0" bottom="0" percent="0" rank="0" text="" dxfId="27">
      <formula>1.1</formula>
      <formula>1.499999</formula>
    </cfRule>
  </conditionalFormatting>
  <conditionalFormatting sqref="F93">
    <cfRule type="cellIs" priority="31" operator="between" aboveAverage="0" equalAverage="0" bottom="0" percent="0" rank="0" text="" dxfId="28">
      <formula>1.1</formula>
      <formula>1.299999</formula>
    </cfRule>
  </conditionalFormatting>
  <conditionalFormatting sqref="F66">
    <cfRule type="cellIs" priority="32" operator="lessThan" aboveAverage="0" equalAverage="0" bottom="0" percent="0" rank="0" text="" dxfId="29">
      <formula>$F$65</formula>
    </cfRule>
  </conditionalFormatting>
  <conditionalFormatting sqref="B27:AM62 B70:AM155 C63:AM67 C69:H69 C68:I68 N68:AM69">
    <cfRule type="expression" priority="33" aboveAverage="0" equalAverage="0" bottom="0" percent="0" rank="0" text="" dxfId="30">
      <formula>$G$23="No"</formula>
    </cfRule>
    <cfRule type="expression" priority="34" aboveAverage="0" equalAverage="0" bottom="0" percent="0" rank="0" text="" dxfId="31">
      <formula>$G$22="No"</formula>
    </cfRule>
  </conditionalFormatting>
  <conditionalFormatting sqref="D22">
    <cfRule type="expression" priority="35" aboveAverage="0" equalAverage="0" bottom="0" percent="0" rank="0" text="" dxfId="32">
      <formula>$G$22="Yes"</formula>
    </cfRule>
  </conditionalFormatting>
  <conditionalFormatting sqref="D23">
    <cfRule type="expression" priority="36" aboveAverage="0" equalAverage="0" bottom="0" percent="0" rank="0" text="" dxfId="33">
      <formula>$G$23="Yes"</formula>
    </cfRule>
  </conditionalFormatting>
  <conditionalFormatting sqref="AS60:AS66">
    <cfRule type="expression" priority="37" aboveAverage="0" equalAverage="0" bottom="0" percent="0" rank="0" text="" dxfId="34">
      <formula>$G$23="No"</formula>
    </cfRule>
    <cfRule type="expression" priority="38" aboveAverage="0" equalAverage="0" bottom="0" percent="0" rank="0" text="" dxfId="35">
      <formula>$G$22="No"</formula>
    </cfRule>
  </conditionalFormatting>
  <conditionalFormatting sqref="B63:B69">
    <cfRule type="expression" priority="39" aboveAverage="0" equalAverage="0" bottom="0" percent="0" rank="0" text="" dxfId="36">
      <formula>$G$23="No"</formula>
    </cfRule>
    <cfRule type="expression" priority="40" aboveAverage="0" equalAverage="0" bottom="0" percent="0" rank="0" text="" dxfId="37">
      <formula>$G$22="No"</formula>
    </cfRule>
  </conditionalFormatting>
  <dataValidations count="25">
    <dataValidation allowBlank="true" error="The lower UVLO threshold MUST be at least 2.65V, and  less than the upper UVLO threshold. They cannot be equal." errorTitle="Lower UVLO Violation" operator="between" showDropDown="false" showErrorMessage="true" showInputMessage="true" sqref="F98" type="decimal">
      <formula1>2.65</formula1>
      <formula2>F97</formula2>
    </dataValidation>
    <dataValidation allowBlank="true" error="The Upper OVLO Threshold must be greater than the upper UVLO threshold, and less than 80V." errorTitle="Upper OVLO Threshold Violation" operator="between" showDropDown="false" showErrorMessage="true" showInputMessage="true" sqref="F99" type="decimal">
      <formula1>F97+0.01</formula1>
      <formula2>80</formula2>
    </dataValidation>
    <dataValidation allowBlank="true" error="The lower OVLO threshold must be greater than the upper UVLO threshold, and less than the upper OVLO threshold." errorTitle="Lower OVLO Threshold Violation" operator="between" showDropDown="false" showErrorMessage="true" showInputMessage="true" sqref="F100" type="decimal">
      <formula1>F97+0.01</formula1>
      <formula2>F99</formula2>
    </dataValidation>
    <dataValidation allowBlank="true" error="The upper UVLO threshold must be no less than 10V, and no greater than 80V." errorTitle="UVLO Threshold Violation" operator="between" showDropDown="false" showErrorMessage="true" showInputMessage="true" sqref="F97" type="decimal">
      <formula1>10</formula1>
      <formula2>80</formula2>
    </dataValidation>
    <dataValidation allowBlank="true" error="Input voltage should be between 10V and 80V." errorTitle="Minimum System Voltage Violation" operator="between" showDropDown="false" showErrorMessage="true" showInputMessage="true" sqref="F28" type="decimal">
      <formula1>F27</formula1>
      <formula2>F29</formula2>
    </dataValidation>
    <dataValidation allowBlank="true" error="A minimum load capacitance of 10 uF is required to help prevent disruptions at turn off." errorTitle="Load Capacitance Violation" operator="greaterThanOrEqual" showDropDown="false" showErrorMessage="true" showInputMessage="true" sqref="F31" type="decimal">
      <formula1>10</formula1>
      <formula2>0</formula2>
    </dataValidation>
    <dataValidation allowBlank="true" error="Maximum Load Current must be greater than 0." errorTitle="Maximum Load Current Violation" operator="greaterThan" showDropDown="false" showErrorMessage="true" showInputMessage="true" sqref="F30" type="decimal">
      <formula1>0</formula1>
      <formula2>0</formula2>
    </dataValidation>
    <dataValidation allowBlank="true" operator="between" showDropDown="false" showErrorMessage="true" showInputMessage="true" sqref="F96" type="list">
      <formula1>$AN$96:$AN$97</formula1>
      <formula2>0</formula2>
    </dataValidation>
    <dataValidation allowBlank="true" operator="between" showDropDown="false" showErrorMessage="true" showInputMessage="true" sqref="F52" type="list">
      <formula1>$AN$51:$AN$52</formula1>
      <formula2>0</formula2>
    </dataValidation>
    <dataValidation allowBlank="true" operator="between" showDropDown="false" showErrorMessage="true" showInputMessage="true" sqref="F51" type="list">
      <formula1>$AN$49:$AN$50</formula1>
      <formula2>0</formula2>
    </dataValidation>
    <dataValidation allowBlank="true" operator="between" showDropDown="false" showErrorMessage="true" showInputMessage="true" sqref="F55" type="whole">
      <formula1>1</formula1>
      <formula2>6</formula2>
    </dataValidation>
    <dataValidation allowBlank="true" operator="greaterThan" showDropDown="false" showErrorMessage="true" showInputMessage="true" sqref="F44 F46" type="decimal">
      <formula1>0</formula1>
      <formula2>0</formula2>
    </dataValidation>
    <dataValidation allowBlank="true" error="When using resistor divider Rs should be set larger than Rs,eff. &#10;&#10;Otherwise switch to &quot;No resistor divider&quot;" errorTitle="Resistor Divider" operator="equal" showDropDown="false" showErrorMessage="true" showInputMessage="true" sqref="F42" type="custom">
      <formula1>"""NA"""</formula1>
      <formula2>0</formula2>
    </dataValidation>
    <dataValidation allowBlank="true" operator="between" showDropDown="false" showErrorMessage="true" showInputMessage="true" sqref="F73 F81" type="list">
      <formula1>$AN$40:$AN$41</formula1>
      <formula2>0</formula2>
    </dataValidation>
    <dataValidation allowBlank="true" operator="between" showDropDown="false" showErrorMessage="true" showInputMessage="false" sqref="F40" type="list">
      <formula1>$AN$40:$AN$41</formula1>
      <formula2>0</formula2>
    </dataValidation>
    <dataValidation allowBlank="true" operator="between" showDropDown="false" showErrorMessage="true" showInputMessage="true" sqref="F38" type="list">
      <formula1>$AN$38:$AN$39</formula1>
      <formula2>0</formula2>
    </dataValidation>
    <dataValidation allowBlank="true" operator="between" showDropDown="false" showErrorMessage="true" showInputMessage="true" sqref="F71" type="list">
      <formula1>$AN$72:$AN$73</formula1>
      <formula2>0</formula2>
    </dataValidation>
    <dataValidation allowBlank="true" error="Must choose a value less than 10" operator="between" showDropDown="false" showErrorMessage="true" showInputMessage="true" sqref="F45" type="decimal">
      <formula1>0</formula1>
      <formula2>10</formula2>
    </dataValidation>
    <dataValidation allowBlank="true" operator="between" showDropDown="false" showErrorMessage="true" showInputMessage="true" sqref="G22:G23" type="list">
      <formula1>yesno</formula1>
      <formula2>0</formula2>
    </dataValidation>
    <dataValidation allowBlank="true" operator="between" showDropDown="false" showErrorMessage="true" showInputMessage="true" sqref="F70" type="decimal">
      <formula1>0</formula1>
      <formula2>Equations!F82</formula2>
    </dataValidation>
    <dataValidation allowBlank="true" error="The Ambient Temperature must be between -40C and 125C" errorTitle="Ambient Temperature Violation" operator="between" showDropDown="false" showErrorMessage="true" showInputMessage="true" sqref="F37" type="decimal">
      <formula1>'Device Parameters'!C5</formula1>
      <formula2>'Device Parameters'!E5</formula2>
    </dataValidation>
    <dataValidation allowBlank="true" error="The maximum system voltage must be no greater than 80V." errorTitle="Maximum System Voltage Violation" operator="lessThanOrEqual" showDropDown="false" showErrorMessage="true" showInputMessage="true" sqref="F29" type="decimal">
      <formula1>'Device Parameters'!E5</formula1>
      <formula2>0</formula2>
    </dataValidation>
    <dataValidation allowBlank="true" error="The Ambient Temperature must be between -40C and 125C" errorTitle="Ambient Temperature Violation" operator="between" showDropDown="false" showErrorMessage="true" showInputMessage="true" sqref="F32:F35" type="decimal">
      <formula1>'Device Parameters'!C4</formula1>
      <formula2>'Device Parameters'!E4</formula2>
    </dataValidation>
    <dataValidation allowBlank="true" error="The Ambient Temperature must be between -40C and 125C" errorTitle="Ambient Temperature Violation" operator="between" showDropDown="false" showErrorMessage="true" showInputMessage="true" sqref="F36" type="decimal">
      <formula1>'Device Parameters'!C7</formula1>
      <formula2>'Device Parameters'!E7</formula2>
    </dataValidation>
    <dataValidation allowBlank="true" error="The minimum system voltage must be at least 10V." errorTitle="Minimum System Voltage Violation" operator="greaterThanOrEqual" showDropDown="false" showErrorMessage="true" showInputMessage="true" sqref="F27" type="decimal">
      <formula1>'Device Parameters'!C5</formula1>
      <formula2>0</formula2>
    </dataValidation>
  </dataValidations>
  <hyperlinks>
    <hyperlink ref="B2" r:id="rId2" display="www.ti.com/hotswap"/>
    <hyperlink ref="D16" r:id="rId3" display="Steps 1 &amp; 2: Operating Conditions, Current Limit, &amp; Circuit Breaker (7:41)"/>
    <hyperlink ref="D17" r:id="rId4" display="Step 3: MOSFET Selection (9:58)"/>
    <hyperlink ref="D18" r:id="rId5" display="Step 4: Startup (10:32)"/>
    <hyperlink ref="D19" r:id="rId6" display="Step 5: UVLO, OVLO &amp; PGD Thresholds (4:20)"/>
    <hyperlink ref="D20" r:id="rId7" display="LM5066I Datasheet"/>
    <hyperlink ref="D24" r:id="rId8" display="*For additional questions not addressed in the videos, please post on E2E.ti.com"/>
    <hyperlink ref="B33" r:id="rId9" display="Steps 1 &amp; 2: Operating Conditions, Current Limit, &amp; Circuit Breaker"/>
    <hyperlink ref="B45" r:id="rId10" display="Steps 1 &amp; 2: Operating Conditions, Current Limit, &amp; Circuit Breaker"/>
    <hyperlink ref="B60" r:id="rId11" display="Step 3: MOSFET Selection"/>
    <hyperlink ref="B79" r:id="rId12" display="Step 4: Startup"/>
    <hyperlink ref="B103" r:id="rId13" display="Step 5: UVLO, OVLO &amp; PGD Thresholds"/>
  </hyperlinks>
  <printOptions headings="false" gridLines="false" gridLinesSet="true" horizontalCentered="false" verticalCentered="false"/>
  <pageMargins left="0.170138888888889" right="0.170138888888889" top="0.55" bottom="0.920138888888889" header="0.511805555555555" footer="0.511805555555555"/>
  <pageSetup paperSize="1" scale="62"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4"/>
  <legacyDrawing r:id="rId15"/>
</worksheet>
</file>

<file path=xl/worksheets/sheet3.xml><?xml version="1.0" encoding="utf-8"?>
<worksheet xmlns="http://schemas.openxmlformats.org/spreadsheetml/2006/main" xmlns:r="http://schemas.openxmlformats.org/officeDocument/2006/relationships">
  <sheetPr filterMode="false">
    <pageSetUpPr fitToPage="false"/>
  </sheetPr>
  <dimension ref="A2: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5" activeCellId="0" sqref="H25"/>
    </sheetView>
  </sheetViews>
  <sheetFormatPr defaultRowHeight="13.2" zeroHeight="false" outlineLevelRow="0" outlineLevelCol="0"/>
  <cols>
    <col collapsed="false" customWidth="true" hidden="false" outlineLevel="0" max="1" min="1" style="0" width="9.44"/>
    <col collapsed="false" customWidth="true" hidden="false" outlineLevel="0" max="2" min="2" style="0" width="24.22"/>
    <col collapsed="false" customWidth="true" hidden="false" outlineLevel="0" max="3" min="3" style="0" width="9.21"/>
    <col collapsed="false" customWidth="true" hidden="false" outlineLevel="0" max="11" min="4" style="0" width="8.67"/>
    <col collapsed="false" customWidth="true" hidden="false" outlineLevel="0" max="12" min="12" style="0" width="13.55"/>
    <col collapsed="false" customWidth="true" hidden="false" outlineLevel="0" max="1025" min="13" style="0" width="8.67"/>
  </cols>
  <sheetData>
    <row r="2" customFormat="false" ht="13.2" hidden="false" customHeight="false" outlineLevel="0" collapsed="false">
      <c r="A2" s="53"/>
      <c r="C2" s="53" t="s">
        <v>216</v>
      </c>
      <c r="D2" s="53" t="s">
        <v>217</v>
      </c>
      <c r="E2" s="53" t="s">
        <v>218</v>
      </c>
      <c r="F2" s="53" t="s">
        <v>175</v>
      </c>
    </row>
    <row r="3" customFormat="false" ht="13.2" hidden="false" customHeight="false" outlineLevel="0" collapsed="false">
      <c r="A3" s="131" t="s">
        <v>219</v>
      </c>
      <c r="C3" s="53"/>
      <c r="D3" s="53"/>
      <c r="E3" s="53"/>
    </row>
    <row r="4" customFormat="false" ht="13.2" hidden="false" customHeight="false" outlineLevel="0" collapsed="false">
      <c r="A4" s="131"/>
      <c r="B4" s="53" t="s">
        <v>220</v>
      </c>
      <c r="C4" s="225" t="n">
        <v>-40</v>
      </c>
      <c r="D4" s="225"/>
      <c r="E4" s="225" t="n">
        <v>125</v>
      </c>
    </row>
    <row r="5" customFormat="false" ht="13.2" hidden="false" customHeight="false" outlineLevel="0" collapsed="false">
      <c r="B5" s="147" t="s">
        <v>221</v>
      </c>
      <c r="C5" s="23" t="n">
        <v>10</v>
      </c>
      <c r="D5" s="23"/>
      <c r="E5" s="23" t="n">
        <v>80</v>
      </c>
      <c r="F5" s="53" t="s">
        <v>40</v>
      </c>
      <c r="J5" s="226"/>
    </row>
    <row r="6" customFormat="false" ht="16.5" hidden="false" customHeight="true" outlineLevel="0" collapsed="false">
      <c r="A6" s="131" t="s">
        <v>222</v>
      </c>
      <c r="B6" s="147"/>
      <c r="C6" s="23"/>
      <c r="D6" s="23"/>
      <c r="E6" s="23"/>
      <c r="J6" s="226"/>
    </row>
    <row r="7" customFormat="false" ht="13.2" hidden="false" customHeight="false" outlineLevel="0" collapsed="false">
      <c r="B7" s="147" t="s">
        <v>223</v>
      </c>
      <c r="C7" s="23" t="n">
        <v>23.4</v>
      </c>
      <c r="D7" s="23" t="n">
        <v>26</v>
      </c>
      <c r="E7" s="23" t="n">
        <v>28.6</v>
      </c>
      <c r="J7" s="226"/>
    </row>
    <row r="8" customFormat="false" ht="13.2" hidden="false" customHeight="false" outlineLevel="0" collapsed="false">
      <c r="B8" s="147" t="s">
        <v>224</v>
      </c>
      <c r="C8" s="23" t="n">
        <v>45</v>
      </c>
      <c r="D8" s="23" t="n">
        <v>50</v>
      </c>
      <c r="E8" s="23" t="n">
        <v>55</v>
      </c>
      <c r="J8" s="147"/>
    </row>
    <row r="9" customFormat="false" ht="13.2" hidden="false" customHeight="false" outlineLevel="0" collapsed="false">
      <c r="B9" s="147" t="s">
        <v>225</v>
      </c>
      <c r="C9" s="23" t="n">
        <v>20</v>
      </c>
      <c r="D9" s="23" t="n">
        <v>25</v>
      </c>
      <c r="E9" s="23" t="n">
        <v>35</v>
      </c>
      <c r="F9" s="53" t="s">
        <v>226</v>
      </c>
      <c r="J9" s="147"/>
    </row>
    <row r="10" customFormat="false" ht="13.2" hidden="false" customHeight="false" outlineLevel="0" collapsed="false">
      <c r="C10" s="23"/>
      <c r="D10" s="23"/>
      <c r="E10" s="23"/>
    </row>
    <row r="11" customFormat="false" ht="13.2" hidden="false" customHeight="false" outlineLevel="0" collapsed="false">
      <c r="A11" s="131" t="s">
        <v>179</v>
      </c>
      <c r="C11" s="23"/>
      <c r="D11" s="23"/>
      <c r="E11" s="23"/>
    </row>
    <row r="12" customFormat="false" ht="13.2" hidden="false" customHeight="false" outlineLevel="0" collapsed="false">
      <c r="B12" s="53" t="s">
        <v>227</v>
      </c>
      <c r="C12" s="23"/>
      <c r="D12" s="23"/>
      <c r="E12" s="23" t="n">
        <v>0.001</v>
      </c>
      <c r="F12" s="53" t="s">
        <v>40</v>
      </c>
    </row>
    <row r="13" customFormat="false" ht="13.2" hidden="false" customHeight="false" outlineLevel="0" collapsed="false">
      <c r="B13" s="53" t="s">
        <v>228</v>
      </c>
      <c r="C13" s="23"/>
      <c r="D13" s="23"/>
      <c r="E13" s="23" t="n">
        <v>0.004</v>
      </c>
      <c r="F13" s="53" t="s">
        <v>40</v>
      </c>
      <c r="G13" s="53" t="s">
        <v>229</v>
      </c>
    </row>
    <row r="14" customFormat="false" ht="13.2" hidden="false" customHeight="false" outlineLevel="0" collapsed="false">
      <c r="B14" s="53" t="s">
        <v>230</v>
      </c>
      <c r="C14" s="23"/>
      <c r="D14" s="23"/>
      <c r="E14" s="227" t="n">
        <f aca="false">1/(0.000007)</f>
        <v>142857.142857143</v>
      </c>
      <c r="F14" s="53"/>
    </row>
    <row r="15" customFormat="false" ht="13.2" hidden="false" customHeight="false" outlineLevel="0" collapsed="false">
      <c r="B15" s="53"/>
      <c r="C15" s="23"/>
      <c r="D15" s="23"/>
      <c r="E15" s="227"/>
      <c r="F15" s="53"/>
    </row>
    <row r="16" customFormat="false" ht="13.2" hidden="false" customHeight="false" outlineLevel="0" collapsed="false">
      <c r="B16" s="53" t="s">
        <v>231</v>
      </c>
      <c r="C16" s="228" t="s">
        <v>232</v>
      </c>
      <c r="D16" s="23"/>
      <c r="E16" s="23"/>
      <c r="F16" s="53"/>
      <c r="I16" s="53" t="s">
        <v>233</v>
      </c>
      <c r="J16" s="53" t="s">
        <v>234</v>
      </c>
      <c r="K16" s="53" t="s">
        <v>235</v>
      </c>
      <c r="L16" s="53" t="s">
        <v>236</v>
      </c>
      <c r="M16" s="53" t="s">
        <v>237</v>
      </c>
      <c r="N16" s="53" t="s">
        <v>238</v>
      </c>
      <c r="P16" s="53" t="s">
        <v>237</v>
      </c>
      <c r="Q16" s="53" t="s">
        <v>235</v>
      </c>
    </row>
    <row r="17" customFormat="false" ht="13.2" hidden="false" customHeight="false" outlineLevel="0" collapsed="false">
      <c r="B17" s="53"/>
      <c r="C17" s="228" t="s">
        <v>239</v>
      </c>
      <c r="D17" s="23"/>
      <c r="E17" s="23"/>
      <c r="F17" s="53"/>
      <c r="J17" s="0" t="n">
        <v>12</v>
      </c>
      <c r="K17" s="0" t="n">
        <v>25</v>
      </c>
      <c r="L17" s="0" t="n">
        <f aca="false">0.5</f>
        <v>0.5</v>
      </c>
      <c r="M17" s="229" t="n">
        <f aca="false">1/(0.001*L17)*(K17*1000/$E$14+J17*$E$12)</f>
        <v>374</v>
      </c>
      <c r="N17" s="230" t="n">
        <f aca="false">K17*1000/$E$14/J17+$E$12</f>
        <v>0.0155833333333333</v>
      </c>
      <c r="P17" s="0" t="n">
        <v>82</v>
      </c>
      <c r="Q17" s="0" t="n">
        <f aca="false">E14*(P17*L17*0.001-J17*E12)</f>
        <v>4142.85714285714</v>
      </c>
    </row>
    <row r="18" customFormat="false" ht="13.2" hidden="false" customHeight="false" outlineLevel="0" collapsed="false">
      <c r="B18" s="53"/>
      <c r="C18" s="228" t="s">
        <v>240</v>
      </c>
      <c r="D18" s="23"/>
      <c r="E18" s="23"/>
      <c r="F18" s="53"/>
      <c r="J18" s="0" t="n">
        <v>12</v>
      </c>
      <c r="K18" s="0" t="n">
        <v>5</v>
      </c>
      <c r="L18" s="0" t="n">
        <f aca="false">0.5</f>
        <v>0.5</v>
      </c>
      <c r="M18" s="229" t="n">
        <f aca="false">1/(0.001*L18)*(K18*1000/$E$14+J18*$E$12)</f>
        <v>94</v>
      </c>
      <c r="N18" s="230" t="n">
        <f aca="false">K18*1000/$E$14/J18+$E$12*0.001</f>
        <v>0.00291766666666667</v>
      </c>
    </row>
    <row r="19" customFormat="false" ht="13.2" hidden="false" customHeight="false" outlineLevel="0" collapsed="false">
      <c r="B19" s="53" t="s">
        <v>241</v>
      </c>
      <c r="E19" s="23"/>
      <c r="F19" s="53"/>
      <c r="I19" s="53" t="s">
        <v>242</v>
      </c>
      <c r="M19" s="229"/>
      <c r="N19" s="230"/>
    </row>
    <row r="20" customFormat="false" ht="13.2" hidden="false" customHeight="false" outlineLevel="0" collapsed="false">
      <c r="C20" s="23"/>
      <c r="D20" s="23"/>
      <c r="E20" s="23"/>
    </row>
    <row r="21" customFormat="false" ht="13.2" hidden="false" customHeight="false" outlineLevel="0" collapsed="false">
      <c r="A21" s="131" t="s">
        <v>243</v>
      </c>
      <c r="C21" s="23"/>
      <c r="D21" s="23"/>
      <c r="E21" s="23"/>
    </row>
    <row r="22" customFormat="false" ht="13.2" hidden="false" customHeight="false" outlineLevel="0" collapsed="false">
      <c r="B22" s="147" t="s">
        <v>244</v>
      </c>
      <c r="C22" s="23" t="n">
        <v>3.74</v>
      </c>
      <c r="D22" s="23" t="n">
        <v>3.9</v>
      </c>
      <c r="E22" s="23" t="n">
        <v>4.07</v>
      </c>
      <c r="F22" s="53" t="s">
        <v>40</v>
      </c>
    </row>
    <row r="23" customFormat="false" ht="13.2" hidden="false" customHeight="false" outlineLevel="0" collapsed="false">
      <c r="B23" s="147" t="s">
        <v>245</v>
      </c>
      <c r="C23" s="23" t="n">
        <v>-5.9</v>
      </c>
      <c r="D23" s="23" t="n">
        <v>-4.8</v>
      </c>
      <c r="E23" s="23" t="n">
        <v>-3.3</v>
      </c>
      <c r="F23" s="53" t="s">
        <v>226</v>
      </c>
    </row>
    <row r="24" customFormat="false" ht="13.2" hidden="false" customHeight="false" outlineLevel="0" collapsed="false">
      <c r="B24" s="147" t="s">
        <v>246</v>
      </c>
      <c r="C24" s="23"/>
      <c r="D24" s="23"/>
      <c r="E24" s="23"/>
      <c r="F24" s="53"/>
    </row>
    <row r="25" customFormat="false" ht="13.2" hidden="false" customHeight="false" outlineLevel="0" collapsed="false">
      <c r="B25" s="147" t="s">
        <v>247</v>
      </c>
      <c r="C25" s="23" t="n">
        <v>90</v>
      </c>
      <c r="D25" s="23" t="n">
        <v>75</v>
      </c>
      <c r="E25" s="23" t="n">
        <v>60</v>
      </c>
      <c r="F25" s="53" t="s">
        <v>226</v>
      </c>
    </row>
    <row r="26" customFormat="false" ht="13.2" hidden="false" customHeight="false" outlineLevel="0" collapsed="false">
      <c r="B26" s="147" t="s">
        <v>248</v>
      </c>
      <c r="C26" s="23"/>
      <c r="D26" s="23" t="n">
        <f aca="false">SQRT(0.66^2+ ((120-90)/90)^2+ 0.1^2)</f>
        <v>0.746130760062277</v>
      </c>
      <c r="E26" s="23"/>
      <c r="F26" s="53"/>
      <c r="G26" s="53" t="s">
        <v>249</v>
      </c>
    </row>
    <row r="27" customFormat="false" ht="13.2" hidden="false" customHeight="false" outlineLevel="0" collapsed="false">
      <c r="B27" s="147" t="s">
        <v>250</v>
      </c>
      <c r="C27" s="23"/>
      <c r="D27" s="23" t="n">
        <v>0.5</v>
      </c>
      <c r="E27" s="23"/>
      <c r="F27" s="53"/>
      <c r="G27" s="53" t="s">
        <v>251</v>
      </c>
    </row>
    <row r="28" customFormat="false" ht="13.2" hidden="false" customHeight="false" outlineLevel="0" collapsed="false">
      <c r="B28" s="226"/>
      <c r="C28" s="23"/>
      <c r="D28" s="23"/>
      <c r="E28" s="23"/>
    </row>
    <row r="29" customFormat="false" ht="13.2" hidden="false" customHeight="false" outlineLevel="0" collapsed="false">
      <c r="A29" s="131" t="s">
        <v>252</v>
      </c>
      <c r="B29" s="226"/>
      <c r="C29" s="23"/>
      <c r="D29" s="23"/>
      <c r="E29" s="23"/>
    </row>
    <row r="30" customFormat="false" ht="13.2" hidden="false" customHeight="false" outlineLevel="0" collapsed="false">
      <c r="B30" s="147" t="s">
        <v>253</v>
      </c>
      <c r="C30" s="23" t="n">
        <v>7.5</v>
      </c>
      <c r="D30" s="23" t="n">
        <v>20</v>
      </c>
      <c r="E30" s="23" t="n">
        <v>40</v>
      </c>
    </row>
    <row r="31" customFormat="false" ht="13.2" hidden="false" customHeight="false" outlineLevel="0" collapsed="false">
      <c r="B31" s="226"/>
      <c r="C31" s="23"/>
      <c r="D31" s="23"/>
      <c r="E31" s="23"/>
    </row>
    <row r="32" customFormat="false" ht="13.2" hidden="false" customHeight="false" outlineLevel="0" collapsed="false">
      <c r="A32" s="131" t="s">
        <v>254</v>
      </c>
      <c r="B32" s="226"/>
      <c r="C32" s="231" t="s">
        <v>255</v>
      </c>
      <c r="D32" s="231"/>
      <c r="E32" s="231"/>
      <c r="F32" s="231" t="s">
        <v>256</v>
      </c>
      <c r="G32" s="231"/>
      <c r="H32" s="231"/>
    </row>
    <row r="33" customFormat="false" ht="13.2" hidden="false" customHeight="false" outlineLevel="0" collapsed="false">
      <c r="B33" s="147" t="s">
        <v>257</v>
      </c>
      <c r="C33" s="23" t="n">
        <v>38</v>
      </c>
      <c r="D33" s="23" t="n">
        <v>48</v>
      </c>
      <c r="E33" s="23" t="n">
        <v>58</v>
      </c>
      <c r="F33" s="23" t="n">
        <v>76</v>
      </c>
      <c r="G33" s="23" t="n">
        <v>96</v>
      </c>
      <c r="H33" s="23" t="n">
        <v>116</v>
      </c>
    </row>
    <row r="34" customFormat="false" ht="13.2" hidden="false" customHeight="false" outlineLevel="0" collapsed="false">
      <c r="B34" s="147" t="s">
        <v>258</v>
      </c>
      <c r="C34" s="23" t="n">
        <v>1.5</v>
      </c>
      <c r="D34" s="23" t="n">
        <v>1.88</v>
      </c>
      <c r="E34" s="23" t="n">
        <v>2.3</v>
      </c>
      <c r="F34" s="23" t="n">
        <v>1.64</v>
      </c>
      <c r="G34" s="23" t="n">
        <v>1.94</v>
      </c>
      <c r="H34" s="23" t="n">
        <v>2.23</v>
      </c>
    </row>
    <row r="35" customFormat="false" ht="13.2" hidden="false" customHeight="false" outlineLevel="0" collapsed="false">
      <c r="B35" s="147" t="s">
        <v>259</v>
      </c>
      <c r="C35" s="23" t="n">
        <v>76</v>
      </c>
      <c r="D35" s="23" t="n">
        <v>96</v>
      </c>
      <c r="E35" s="23" t="n">
        <v>116</v>
      </c>
      <c r="F35" s="23" t="n">
        <v>155</v>
      </c>
      <c r="G35" s="23" t="n">
        <v>193</v>
      </c>
      <c r="H35" s="23" t="n">
        <v>235</v>
      </c>
    </row>
    <row r="36" customFormat="false" ht="13.2" hidden="false" customHeight="false" outlineLevel="0" collapsed="false">
      <c r="B36" s="147" t="s">
        <v>260</v>
      </c>
      <c r="C36" s="23" t="n">
        <v>3.1</v>
      </c>
      <c r="D36" s="23" t="n">
        <v>3.75</v>
      </c>
      <c r="E36" s="23" t="n">
        <v>4.45</v>
      </c>
      <c r="F36" s="23" t="n">
        <v>3.28</v>
      </c>
      <c r="G36" s="23" t="n">
        <v>3.87</v>
      </c>
      <c r="H36" s="23" t="n">
        <v>4.45</v>
      </c>
    </row>
    <row r="37" customFormat="false" ht="13.2" hidden="false" customHeight="false" outlineLevel="0" collapsed="false">
      <c r="B37" s="226"/>
      <c r="C37" s="23"/>
      <c r="D37" s="23"/>
      <c r="E37" s="23"/>
    </row>
    <row r="38" customFormat="false" ht="13.2" hidden="false" customHeight="false" outlineLevel="0" collapsed="false">
      <c r="A38" s="131" t="s">
        <v>261</v>
      </c>
      <c r="B38" s="226"/>
    </row>
    <row r="39" customFormat="false" ht="13.2" hidden="false" customHeight="false" outlineLevel="0" collapsed="false">
      <c r="B39" s="147" t="s">
        <v>244</v>
      </c>
      <c r="C39" s="0" t="n">
        <v>3.74</v>
      </c>
      <c r="D39" s="0" t="n">
        <v>3.9</v>
      </c>
      <c r="E39" s="0" t="n">
        <v>4.07</v>
      </c>
    </row>
    <row r="40" customFormat="false" ht="13.2" hidden="false" customHeight="false" outlineLevel="0" collapsed="false">
      <c r="B40" s="147" t="s">
        <v>262</v>
      </c>
      <c r="C40" s="0" t="n">
        <v>1</v>
      </c>
      <c r="D40" s="0" t="n">
        <v>1.2</v>
      </c>
      <c r="E40" s="0" t="n">
        <v>1.4</v>
      </c>
    </row>
    <row r="41" customFormat="false" ht="13.2" hidden="false" customHeight="false" outlineLevel="0" collapsed="false">
      <c r="B41" s="147" t="s">
        <v>263</v>
      </c>
      <c r="D41" s="0" t="n">
        <v>0.3</v>
      </c>
    </row>
    <row r="42" customFormat="false" ht="13.2" hidden="false" customHeight="false" outlineLevel="0" collapsed="false">
      <c r="B42" s="147" t="s">
        <v>264</v>
      </c>
      <c r="D42" s="0" t="n">
        <v>0.3</v>
      </c>
    </row>
    <row r="43" customFormat="false" ht="13.2" hidden="false" customHeight="false" outlineLevel="0" collapsed="false">
      <c r="B43" s="147" t="s">
        <v>265</v>
      </c>
      <c r="C43" s="0" t="n">
        <v>3.3</v>
      </c>
      <c r="D43" s="0" t="n">
        <v>4.8</v>
      </c>
      <c r="E43" s="0" t="n">
        <v>5.9</v>
      </c>
    </row>
    <row r="44" customFormat="false" ht="13.2" hidden="false" customHeight="false" outlineLevel="0" collapsed="false">
      <c r="B44" s="147" t="s">
        <v>266</v>
      </c>
      <c r="C44" s="0" t="n">
        <v>0.9</v>
      </c>
      <c r="D44" s="0" t="n">
        <v>1.5</v>
      </c>
      <c r="E44" s="0" t="n">
        <v>2.1</v>
      </c>
    </row>
    <row r="45" customFormat="false" ht="13.2" hidden="false" customHeight="false" outlineLevel="0" collapsed="false">
      <c r="B45" s="147" t="s">
        <v>247</v>
      </c>
      <c r="C45" s="0" t="n">
        <v>60</v>
      </c>
      <c r="D45" s="0" t="n">
        <v>75</v>
      </c>
      <c r="E45" s="0" t="n">
        <v>90</v>
      </c>
    </row>
    <row r="46" customFormat="false" ht="13.2" hidden="false" customHeight="false" outlineLevel="0" collapsed="false">
      <c r="B46" s="147" t="s">
        <v>267</v>
      </c>
      <c r="C46" s="0" t="n">
        <v>1.7</v>
      </c>
      <c r="D46" s="0" t="n">
        <v>2.8</v>
      </c>
      <c r="E46" s="0" t="n">
        <v>3.2</v>
      </c>
    </row>
    <row r="48" customFormat="false" ht="13.2" hidden="false" customHeight="false" outlineLevel="0" collapsed="false">
      <c r="A48" s="131" t="s">
        <v>268</v>
      </c>
    </row>
    <row r="49" customFormat="false" ht="13.2" hidden="false" customHeight="false" outlineLevel="0" collapsed="false">
      <c r="B49" s="147" t="s">
        <v>269</v>
      </c>
      <c r="D49" s="0" t="n">
        <v>100</v>
      </c>
      <c r="E49" s="0" t="n">
        <v>400</v>
      </c>
      <c r="F49" s="53" t="s">
        <v>270</v>
      </c>
      <c r="G49" s="0" t="n">
        <v>2</v>
      </c>
      <c r="H49" s="53" t="s">
        <v>271</v>
      </c>
    </row>
    <row r="50" customFormat="false" ht="13.2" hidden="false" customHeight="false" outlineLevel="0" collapsed="false">
      <c r="A50" s="131" t="s">
        <v>272</v>
      </c>
    </row>
    <row r="51" customFormat="false" ht="13.2" hidden="false" customHeight="false" outlineLevel="0" collapsed="false">
      <c r="B51" s="53" t="s">
        <v>273</v>
      </c>
      <c r="C51" s="0" t="n">
        <v>2.41</v>
      </c>
      <c r="D51" s="0" t="n">
        <v>2.46</v>
      </c>
      <c r="E51" s="0" t="n">
        <v>2.52</v>
      </c>
      <c r="F51" s="53" t="s">
        <v>40</v>
      </c>
    </row>
    <row r="52" customFormat="false" ht="13.2" hidden="false" customHeight="false" outlineLevel="0" collapsed="false">
      <c r="B52" s="53" t="s">
        <v>274</v>
      </c>
      <c r="C52" s="0" t="n">
        <v>15</v>
      </c>
      <c r="D52" s="0" t="n">
        <v>20</v>
      </c>
      <c r="E52" s="0" t="n">
        <v>25</v>
      </c>
      <c r="F52" s="53" t="s">
        <v>226</v>
      </c>
    </row>
  </sheetData>
  <mergeCells count="2">
    <mergeCell ref="C32:E32"/>
    <mergeCell ref="F32:H3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2:Y273"/>
  <sheetViews>
    <sheetView showFormulas="false" showGridLines="true" showRowColHeaders="true" showZeros="true" rightToLeft="false" tabSelected="false" showOutlineSymbols="true" defaultGridColor="true" view="normal" topLeftCell="G232" colorId="64" zoomScale="100" zoomScaleNormal="100" zoomScalePageLayoutView="100" workbookViewId="0">
      <selection pane="topLeft" activeCell="E34" activeCellId="0" sqref="E34"/>
    </sheetView>
  </sheetViews>
  <sheetFormatPr defaultRowHeight="13.2" zeroHeight="false" outlineLevelRow="0" outlineLevelCol="0"/>
  <cols>
    <col collapsed="false" customWidth="true" hidden="false" outlineLevel="0" max="5" min="1" style="0" width="8.67"/>
    <col collapsed="false" customWidth="true" hidden="false" outlineLevel="0" max="6" min="6" style="0" width="12.44"/>
    <col collapsed="false" customWidth="true" hidden="false" outlineLevel="0" max="7" min="7" style="0" width="8.67"/>
    <col collapsed="false" customWidth="true" hidden="false" outlineLevel="0" max="8" min="8" style="0" width="14.01"/>
    <col collapsed="false" customWidth="true" hidden="false" outlineLevel="0" max="9" min="9" style="0" width="12.78"/>
    <col collapsed="false" customWidth="true" hidden="false" outlineLevel="0" max="10" min="10" style="0" width="11.77"/>
    <col collapsed="false" customWidth="true" hidden="false" outlineLevel="0" max="1025" min="11" style="0" width="8.67"/>
  </cols>
  <sheetData>
    <row r="2" customFormat="false" ht="13.2" hidden="false" customHeight="false" outlineLevel="0" collapsed="false">
      <c r="A2" s="131" t="s">
        <v>222</v>
      </c>
    </row>
    <row r="3" customFormat="false" ht="13.2" hidden="false" customHeight="false" outlineLevel="0" collapsed="false">
      <c r="E3" s="226"/>
    </row>
    <row r="4" customFormat="false" ht="13.2" hidden="false" customHeight="false" outlineLevel="0" collapsed="false">
      <c r="D4" s="0" t="s">
        <v>275</v>
      </c>
      <c r="E4" s="0" t="n">
        <f aca="false">IF('Design Calculator'!$F$38="26 mV",'Device Parameters'!C7,'Device Parameters'!C8)</f>
        <v>23.4</v>
      </c>
      <c r="F4" s="232" t="s">
        <v>270</v>
      </c>
    </row>
    <row r="5" customFormat="false" ht="13.2" hidden="false" customHeight="false" outlineLevel="0" collapsed="false">
      <c r="D5" s="0" t="s">
        <v>276</v>
      </c>
      <c r="E5" s="0" t="n">
        <f aca="false">IF('Design Calculator'!$F$38="26 mV",'Device Parameters'!D7,'Device Parameters'!D8)</f>
        <v>26</v>
      </c>
      <c r="F5" s="232" t="s">
        <v>270</v>
      </c>
    </row>
    <row r="6" customFormat="false" ht="13.2" hidden="false" customHeight="false" outlineLevel="0" collapsed="false">
      <c r="D6" s="0" t="s">
        <v>277</v>
      </c>
      <c r="E6" s="0" t="n">
        <f aca="false">IF('Design Calculator'!$F$38="26 mV",'Device Parameters'!E7,'Device Parameters'!E8)</f>
        <v>28.6</v>
      </c>
      <c r="F6" s="232" t="s">
        <v>270</v>
      </c>
    </row>
    <row r="7" customFormat="false" ht="13.2" hidden="false" customHeight="false" outlineLevel="0" collapsed="false">
      <c r="E7" s="226"/>
    </row>
    <row r="8" customFormat="false" ht="13.2" hidden="false" customHeight="false" outlineLevel="0" collapsed="false">
      <c r="A8" s="131"/>
      <c r="E8" s="226"/>
    </row>
    <row r="9" customFormat="false" ht="13.2" hidden="false" customHeight="false" outlineLevel="0" collapsed="false">
      <c r="E9" s="226" t="s">
        <v>278</v>
      </c>
      <c r="F9" s="0" t="n">
        <f aca="false">CLMIN_Threshold/('Design Calculator'!F30*1.01)</f>
        <v>0.297029702970297</v>
      </c>
    </row>
    <row r="10" customFormat="false" ht="13.2" hidden="false" customHeight="false" outlineLevel="0" collapsed="false">
      <c r="E10" s="147" t="s">
        <v>279</v>
      </c>
      <c r="F10" s="53" t="n">
        <f aca="false">IF(Rs&gt;RsMAX,10,"NA")</f>
        <v>10</v>
      </c>
    </row>
    <row r="11" customFormat="false" ht="13.2" hidden="false" customHeight="false" outlineLevel="0" collapsed="false">
      <c r="E11" s="147" t="s">
        <v>280</v>
      </c>
      <c r="F11" s="0" t="n">
        <f aca="false">IF(Rs&gt;RsMAX,(((IOUTMAX*Rs)/CLMIN_Threshold)-1)*F10,"NA")</f>
        <v>0</v>
      </c>
    </row>
    <row r="12" customFormat="false" ht="13.2" hidden="false" customHeight="false" outlineLevel="0" collapsed="false">
      <c r="E12" s="147" t="s">
        <v>281</v>
      </c>
      <c r="F12" s="0" t="n">
        <f aca="false">IF(RsMAX&gt;Rs,Rs,IF('Design Calculator'!F40="Yes",IF(Rs&gt;RsMAX,Rs/(1+RDIV2/RDIV1),Rs),Rs))</f>
        <v>0.3</v>
      </c>
      <c r="H12" s="233"/>
    </row>
    <row r="13" customFormat="false" ht="13.2" hidden="false" customHeight="false" outlineLevel="0" collapsed="false">
      <c r="E13" s="226" t="s">
        <v>282</v>
      </c>
      <c r="F13" s="234" t="n">
        <f aca="false">CLMIN_Threshold/RsEFF</f>
        <v>78</v>
      </c>
      <c r="G13" s="234"/>
    </row>
    <row r="14" customFormat="false" ht="13.2" hidden="false" customHeight="false" outlineLevel="0" collapsed="false">
      <c r="E14" s="226" t="s">
        <v>283</v>
      </c>
      <c r="F14" s="0" t="n">
        <f aca="false">CLNOM_Threshold/RsEFF</f>
        <v>86.6666666666667</v>
      </c>
    </row>
    <row r="15" customFormat="false" ht="13.2" hidden="false" customHeight="false" outlineLevel="0" collapsed="false">
      <c r="E15" s="226" t="s">
        <v>284</v>
      </c>
      <c r="F15" s="0" t="n">
        <f aca="false">CLMAX_Threshold/RsEFF</f>
        <v>95.3333333333333</v>
      </c>
    </row>
    <row r="16" customFormat="false" ht="13.2" hidden="false" customHeight="false" outlineLevel="0" collapsed="false">
      <c r="E16" s="226" t="s">
        <v>285</v>
      </c>
      <c r="F16" s="0" t="n">
        <f aca="false">F15^2*'Design Calculator'!F41</f>
        <v>2726.53333333333</v>
      </c>
    </row>
    <row r="19" customFormat="false" ht="13.2" hidden="false" customHeight="false" outlineLevel="0" collapsed="false">
      <c r="E19" s="147" t="s">
        <v>286</v>
      </c>
      <c r="F19" s="0" t="n">
        <f aca="false">CLNOM_Threshold*IF('Design Calculator'!F52 = "1.9 x Current Limit", 1.9, 3.9)</f>
        <v>49.4</v>
      </c>
      <c r="G19" s="53" t="s">
        <v>270</v>
      </c>
    </row>
    <row r="20" customFormat="false" ht="16.2" hidden="false" customHeight="true" outlineLevel="0" collapsed="false">
      <c r="E20" s="147" t="s">
        <v>287</v>
      </c>
      <c r="F20" s="0" t="n">
        <f aca="false">F19/RsEFF</f>
        <v>164.666666666667</v>
      </c>
      <c r="G20" s="53" t="s">
        <v>44</v>
      </c>
    </row>
    <row r="21" customFormat="false" ht="13.2" hidden="false" customHeight="false" outlineLevel="0" collapsed="false">
      <c r="E21" s="226"/>
    </row>
    <row r="22" customFormat="false" ht="13.2" hidden="false" customHeight="false" outlineLevel="0" collapsed="false">
      <c r="A22" s="131" t="s">
        <v>288</v>
      </c>
    </row>
    <row r="23" customFormat="false" ht="13.2" hidden="false" customHeight="false" outlineLevel="0" collapsed="false">
      <c r="A23" s="53"/>
      <c r="F23" s="53" t="s">
        <v>289</v>
      </c>
      <c r="H23" s="53" t="s">
        <v>290</v>
      </c>
    </row>
    <row r="24" customFormat="false" ht="13.2" hidden="false" customHeight="false" outlineLevel="0" collapsed="false">
      <c r="A24" s="53"/>
      <c r="E24" s="145" t="s">
        <v>291</v>
      </c>
      <c r="F24" s="235" t="n">
        <f aca="false">VINMAX*'Design Calculator'!F58</f>
        <v>15000</v>
      </c>
      <c r="G24" s="53" t="s">
        <v>59</v>
      </c>
      <c r="H24" s="0" t="n">
        <f aca="false">F24*(TJMAX-TJ)/(TJMAX-25)</f>
        <v>3720.56470588235</v>
      </c>
    </row>
    <row r="25" customFormat="false" ht="13.2" hidden="false" customHeight="false" outlineLevel="0" collapsed="false">
      <c r="A25" s="53"/>
      <c r="E25" s="145" t="s">
        <v>292</v>
      </c>
      <c r="F25" s="235" t="n">
        <f aca="false">VINMAX*'Design Calculator'!F59</f>
        <v>4050</v>
      </c>
      <c r="G25" s="53" t="s">
        <v>59</v>
      </c>
      <c r="H25" s="0" t="n">
        <f aca="false">F25*(TJMAX-TJ)/(TJMAX-25)</f>
        <v>1004.55247058824</v>
      </c>
    </row>
    <row r="26" customFormat="false" ht="13.2" hidden="false" customHeight="false" outlineLevel="0" collapsed="false">
      <c r="A26" s="53"/>
      <c r="E26" s="145" t="s">
        <v>293</v>
      </c>
      <c r="F26" s="235" t="n">
        <f aca="false">VINMAX*'Design Calculator'!F60</f>
        <v>900</v>
      </c>
      <c r="G26" s="53" t="s">
        <v>59</v>
      </c>
      <c r="H26" s="0" t="n">
        <f aca="false">F26*(TJMAX-TJ)/(TJMAX-25)</f>
        <v>223.233882352941</v>
      </c>
    </row>
    <row r="27" customFormat="false" ht="13.2" hidden="false" customHeight="false" outlineLevel="0" collapsed="false">
      <c r="A27" s="53"/>
      <c r="E27" s="145" t="s">
        <v>294</v>
      </c>
      <c r="F27" s="235" t="n">
        <f aca="false">VINMAX*'Design Calculator'!F61</f>
        <v>315</v>
      </c>
      <c r="G27" s="236" t="s">
        <v>59</v>
      </c>
      <c r="H27" s="0" t="n">
        <f aca="false">F27*(TJMAX-TJ)/(TJMAX-25)</f>
        <v>78.1318588235294</v>
      </c>
    </row>
    <row r="28" customFormat="false" ht="13.2" hidden="false" customHeight="false" outlineLevel="0" collapsed="false">
      <c r="A28" s="53"/>
      <c r="E28" s="237"/>
      <c r="F28" s="238"/>
      <c r="G28" s="236"/>
    </row>
    <row r="29" customFormat="false" ht="13.2" hidden="false" customHeight="false" outlineLevel="0" collapsed="false">
      <c r="A29" s="53"/>
      <c r="E29" s="237" t="s">
        <v>295</v>
      </c>
      <c r="F29" s="238" t="n">
        <f aca="false">VINMAX*'Device Parameters'!E13/RsEFF/0.001</f>
        <v>666.666666666667</v>
      </c>
      <c r="G29" s="236" t="s">
        <v>59</v>
      </c>
    </row>
    <row r="30" customFormat="false" ht="13.2" hidden="false" customHeight="false" outlineLevel="0" collapsed="false">
      <c r="A30" s="53"/>
      <c r="D30" s="239"/>
      <c r="E30" s="237" t="s">
        <v>296</v>
      </c>
      <c r="F30" s="238" t="n">
        <f aca="false">'Design Calculator'!F66</f>
        <v>700</v>
      </c>
      <c r="G30" s="236" t="s">
        <v>59</v>
      </c>
      <c r="H30" s="239"/>
    </row>
    <row r="31" customFormat="false" ht="13.2" hidden="false" customHeight="false" outlineLevel="0" collapsed="false">
      <c r="A31" s="53"/>
      <c r="D31" s="239"/>
      <c r="E31" s="237" t="s">
        <v>235</v>
      </c>
      <c r="F31" s="239" t="n">
        <f aca="false">'Device Parameters'!E14*(F30*RsEFF*0.001-0.043)/1000</f>
        <v>23.8571428571429</v>
      </c>
      <c r="G31" s="236" t="s">
        <v>297</v>
      </c>
      <c r="H31" s="239"/>
    </row>
    <row r="32" customFormat="false" ht="13.2" hidden="false" customHeight="false" outlineLevel="0" collapsed="false">
      <c r="A32" s="53"/>
      <c r="D32" s="239"/>
      <c r="E32" s="237" t="s">
        <v>298</v>
      </c>
      <c r="F32" s="238" t="n">
        <f aca="false">RPWR</f>
        <v>24</v>
      </c>
      <c r="G32" s="236" t="s">
        <v>297</v>
      </c>
      <c r="H32" s="239"/>
    </row>
    <row r="33" customFormat="false" ht="13.2" hidden="false" customHeight="false" outlineLevel="0" collapsed="false">
      <c r="A33" s="53"/>
      <c r="D33" s="239"/>
      <c r="E33" s="237" t="s">
        <v>299</v>
      </c>
      <c r="F33" s="240" t="n">
        <f aca="false">1/RsEFF*1000*(Equations!F32*1000/'Device Parameters'!E14+0.043)</f>
        <v>703.333333333333</v>
      </c>
      <c r="G33" s="236" t="s">
        <v>59</v>
      </c>
      <c r="H33" s="239"/>
    </row>
    <row r="34" customFormat="false" ht="13.2" hidden="false" customHeight="false" outlineLevel="0" collapsed="false">
      <c r="A34" s="53"/>
      <c r="D34" s="239"/>
      <c r="E34" s="237"/>
      <c r="F34" s="239"/>
      <c r="G34" s="236"/>
      <c r="H34" s="239"/>
    </row>
    <row r="35" customFormat="false" ht="13.2" hidden="false" customHeight="false" outlineLevel="0" collapsed="false">
      <c r="A35" s="53"/>
      <c r="D35" s="239"/>
      <c r="E35" s="237"/>
      <c r="F35" s="239"/>
      <c r="G35" s="236"/>
      <c r="H35" s="239"/>
    </row>
    <row r="36" customFormat="false" ht="13.2" hidden="false" customHeight="false" outlineLevel="0" collapsed="false">
      <c r="A36" s="53"/>
      <c r="D36" s="239"/>
      <c r="E36" s="237"/>
      <c r="F36" s="239"/>
      <c r="G36" s="236"/>
      <c r="H36" s="239"/>
    </row>
    <row r="37" customFormat="false" ht="13.2" hidden="false" customHeight="false" outlineLevel="0" collapsed="false">
      <c r="D37" s="239"/>
      <c r="E37" s="241" t="s">
        <v>300</v>
      </c>
      <c r="F37" s="242" t="n">
        <f aca="false">F38*(1-0.24)</f>
        <v>534.533333333333</v>
      </c>
      <c r="G37" s="239" t="s">
        <v>301</v>
      </c>
      <c r="H37" s="239"/>
    </row>
    <row r="38" customFormat="false" ht="13.2" hidden="false" customHeight="false" outlineLevel="0" collapsed="false">
      <c r="D38" s="239"/>
      <c r="E38" s="241" t="s">
        <v>302</v>
      </c>
      <c r="F38" s="242" t="n">
        <f aca="false">F33</f>
        <v>703.333333333333</v>
      </c>
      <c r="G38" s="239"/>
      <c r="H38" s="239"/>
    </row>
    <row r="39" customFormat="false" ht="13.2" hidden="false" customHeight="false" outlineLevel="0" collapsed="false">
      <c r="D39" s="239"/>
      <c r="E39" s="241" t="s">
        <v>303</v>
      </c>
      <c r="F39" s="242" t="n">
        <f aca="false">F38*(1+0.24)</f>
        <v>872.133333333333</v>
      </c>
      <c r="G39" s="239"/>
      <c r="H39" s="239"/>
    </row>
    <row r="40" customFormat="false" ht="13.2" hidden="false" customHeight="false" outlineLevel="0" collapsed="false">
      <c r="D40" s="239"/>
      <c r="E40" s="241"/>
      <c r="F40" s="243"/>
      <c r="G40" s="239"/>
      <c r="H40" s="241"/>
      <c r="I40" s="23"/>
      <c r="K40" s="226"/>
      <c r="L40" s="23"/>
    </row>
    <row r="41" customFormat="false" ht="13.2" hidden="false" customHeight="false" outlineLevel="0" collapsed="false">
      <c r="D41" s="239"/>
      <c r="E41" s="241"/>
      <c r="F41" s="243"/>
      <c r="G41" s="239"/>
      <c r="H41" s="241"/>
      <c r="I41" s="23"/>
      <c r="K41" s="226"/>
      <c r="L41" s="23"/>
    </row>
    <row r="42" customFormat="false" ht="13.2" hidden="false" customHeight="false" outlineLevel="0" collapsed="false">
      <c r="A42" s="131" t="s">
        <v>304</v>
      </c>
      <c r="D42" s="239"/>
      <c r="E42" s="239"/>
      <c r="F42" s="239"/>
      <c r="G42" s="239"/>
      <c r="H42" s="239"/>
    </row>
    <row r="43" customFormat="false" ht="13.2" hidden="false" customHeight="false" outlineLevel="0" collapsed="false">
      <c r="A43" s="131"/>
      <c r="D43" s="244" t="s">
        <v>305</v>
      </c>
      <c r="E43" s="244"/>
      <c r="F43" s="244"/>
      <c r="G43" s="244"/>
      <c r="H43" s="239"/>
    </row>
    <row r="44" customFormat="false" ht="13.2" hidden="false" customHeight="false" outlineLevel="0" collapsed="false">
      <c r="A44" s="131"/>
      <c r="D44" s="239"/>
      <c r="E44" s="237" t="s">
        <v>306</v>
      </c>
      <c r="F44" s="242" t="n">
        <f aca="false">Start_up!M2</f>
        <v>32.5</v>
      </c>
      <c r="G44" s="245" t="s">
        <v>108</v>
      </c>
      <c r="H44" s="239"/>
    </row>
    <row r="45" customFormat="false" ht="13.2" hidden="false" customHeight="false" outlineLevel="0" collapsed="false">
      <c r="A45" s="131"/>
      <c r="D45" s="239"/>
      <c r="E45" s="237" t="s">
        <v>307</v>
      </c>
      <c r="F45" s="242" t="n">
        <f aca="false">'Device Parameters'!D27</f>
        <v>0.5</v>
      </c>
      <c r="G45" s="239"/>
      <c r="H45" s="239"/>
    </row>
    <row r="46" customFormat="false" ht="13.2" hidden="false" customHeight="false" outlineLevel="0" collapsed="false">
      <c r="A46" s="131"/>
      <c r="D46" s="239"/>
      <c r="E46" s="237" t="s">
        <v>308</v>
      </c>
      <c r="F46" s="239" t="n">
        <f aca="false">F44*(1+F45)</f>
        <v>48.75</v>
      </c>
      <c r="G46" s="245" t="s">
        <v>108</v>
      </c>
      <c r="H46" s="239"/>
    </row>
    <row r="47" customFormat="false" ht="13.2" hidden="false" customHeight="false" outlineLevel="0" collapsed="false">
      <c r="A47" s="131"/>
      <c r="D47" s="239"/>
      <c r="E47" s="237" t="s">
        <v>111</v>
      </c>
      <c r="F47" s="239" t="n">
        <f aca="false">'Device Parameters'!D25/'Device Parameters'!D22*F46</f>
        <v>937.5</v>
      </c>
      <c r="G47" s="245" t="s">
        <v>112</v>
      </c>
      <c r="H47" s="239"/>
    </row>
    <row r="48" customFormat="false" ht="13.2" hidden="false" customHeight="false" outlineLevel="0" collapsed="false">
      <c r="A48" s="131"/>
      <c r="D48" s="239"/>
      <c r="E48" s="237" t="s">
        <v>309</v>
      </c>
      <c r="F48" s="242" t="n">
        <f aca="false">'Design Calculator'!F78</f>
        <v>20000</v>
      </c>
      <c r="G48" s="245" t="s">
        <v>112</v>
      </c>
      <c r="H48" s="239"/>
    </row>
    <row r="49" customFormat="false" ht="13.2" hidden="false" customHeight="false" outlineLevel="0" collapsed="false">
      <c r="A49" s="131"/>
      <c r="D49" s="239"/>
      <c r="E49" s="237" t="s">
        <v>310</v>
      </c>
      <c r="F49" s="239" t="n">
        <f aca="false">'Device Parameters'!D22/'Device Parameters'!D25*F48</f>
        <v>1040</v>
      </c>
      <c r="G49" s="245" t="s">
        <v>108</v>
      </c>
      <c r="H49" s="239"/>
    </row>
    <row r="50" customFormat="false" ht="13.2" hidden="false" customHeight="false" outlineLevel="0" collapsed="false">
      <c r="A50" s="131"/>
      <c r="D50" s="239"/>
      <c r="E50" s="237" t="s">
        <v>311</v>
      </c>
      <c r="F50" s="239" t="n">
        <f aca="false">SOA!C26/F38</f>
        <v>2.07158241217503</v>
      </c>
      <c r="G50" s="245"/>
      <c r="H50" s="239"/>
    </row>
    <row r="51" customFormat="false" ht="13.2" hidden="false" customHeight="false" outlineLevel="0" collapsed="false">
      <c r="A51" s="131"/>
      <c r="D51" s="244" t="s">
        <v>312</v>
      </c>
      <c r="E51" s="244"/>
      <c r="F51" s="244"/>
      <c r="G51" s="244"/>
      <c r="H51" s="239"/>
    </row>
    <row r="52" customFormat="false" ht="13.2" hidden="false" customHeight="false" outlineLevel="0" collapsed="false">
      <c r="A52" s="131"/>
      <c r="C52" s="53"/>
      <c r="D52" s="246"/>
      <c r="E52" s="237" t="s">
        <v>313</v>
      </c>
      <c r="F52" s="247" t="n">
        <f aca="false">'Design Calculator'!F84</f>
        <v>1.5</v>
      </c>
      <c r="G52" s="247" t="s">
        <v>118</v>
      </c>
      <c r="H52" s="239"/>
    </row>
    <row r="53" customFormat="false" ht="13.2" hidden="false" customHeight="false" outlineLevel="0" collapsed="false">
      <c r="A53" s="131"/>
      <c r="C53" s="53"/>
      <c r="D53" s="246"/>
      <c r="E53" s="237" t="s">
        <v>121</v>
      </c>
      <c r="F53" s="243" t="n">
        <f aca="false">'Device Parameters'!D30/ss_rate</f>
        <v>13.3333333333333</v>
      </c>
      <c r="G53" s="245" t="s">
        <v>112</v>
      </c>
      <c r="H53" s="239"/>
    </row>
    <row r="54" customFormat="false" ht="13.2" hidden="false" customHeight="false" outlineLevel="0" collapsed="false">
      <c r="A54" s="131"/>
      <c r="C54" s="53"/>
      <c r="D54" s="246"/>
      <c r="E54" s="237" t="s">
        <v>123</v>
      </c>
      <c r="F54" s="247" t="n">
        <f aca="false">'Design Calculator'!F86</f>
        <v>13</v>
      </c>
      <c r="G54" s="245" t="s">
        <v>112</v>
      </c>
      <c r="H54" s="239"/>
    </row>
    <row r="55" customFormat="false" ht="13.2" hidden="false" customHeight="false" outlineLevel="0" collapsed="false">
      <c r="A55" s="131"/>
      <c r="C55" s="53"/>
      <c r="D55" s="246"/>
      <c r="E55" s="237" t="s">
        <v>314</v>
      </c>
      <c r="F55" s="243" t="n">
        <f aca="false">ss_rate*F53/F54</f>
        <v>1.53846153846154</v>
      </c>
      <c r="G55" s="245" t="s">
        <v>118</v>
      </c>
      <c r="H55" s="239"/>
    </row>
    <row r="56" customFormat="false" ht="13.2" hidden="false" customHeight="false" outlineLevel="0" collapsed="false">
      <c r="A56" s="131"/>
      <c r="C56" s="53"/>
      <c r="D56" s="246"/>
      <c r="E56" s="237" t="s">
        <v>315</v>
      </c>
      <c r="F56" s="247" t="n">
        <f aca="false">COUTMAX*F55/1000</f>
        <v>6.15384615384615</v>
      </c>
      <c r="G56" s="247" t="s">
        <v>44</v>
      </c>
      <c r="H56" s="239"/>
    </row>
    <row r="57" customFormat="false" ht="13.2" hidden="false" customHeight="false" outlineLevel="0" collapsed="false">
      <c r="A57" s="131"/>
      <c r="C57" s="53"/>
      <c r="D57" s="246"/>
      <c r="E57" s="237" t="s">
        <v>316</v>
      </c>
      <c r="F57" s="247" t="n">
        <f aca="false">VINMAX/F55</f>
        <v>32.5</v>
      </c>
      <c r="G57" s="247" t="s">
        <v>108</v>
      </c>
      <c r="H57" s="239"/>
    </row>
    <row r="58" customFormat="false" ht="13.2" hidden="false" customHeight="false" outlineLevel="0" collapsed="false">
      <c r="A58" s="131"/>
      <c r="C58" s="53"/>
      <c r="D58" s="246"/>
      <c r="E58" s="237" t="s">
        <v>317</v>
      </c>
      <c r="F58" s="247" t="n">
        <f aca="false">Start_up!N5</f>
        <v>4.95192307692308</v>
      </c>
      <c r="G58" s="247" t="s">
        <v>318</v>
      </c>
      <c r="H58" s="239"/>
    </row>
    <row r="59" customFormat="false" ht="13.2" hidden="false" customHeight="false" outlineLevel="0" collapsed="false">
      <c r="A59" s="131"/>
      <c r="C59" s="53"/>
      <c r="D59" s="246"/>
      <c r="E59" s="237" t="s">
        <v>319</v>
      </c>
      <c r="F59" s="247" t="n">
        <f aca="false">Start_up!Q4</f>
        <v>307.692307692308</v>
      </c>
      <c r="G59" s="247" t="s">
        <v>59</v>
      </c>
      <c r="H59" s="239"/>
    </row>
    <row r="60" customFormat="false" ht="13.2" hidden="false" customHeight="false" outlineLevel="0" collapsed="false">
      <c r="A60" s="131"/>
      <c r="D60" s="248"/>
      <c r="E60" s="237" t="s">
        <v>320</v>
      </c>
      <c r="F60" s="247" t="n">
        <f aca="false">F58/F59*1000</f>
        <v>16.09375</v>
      </c>
      <c r="G60" s="247" t="s">
        <v>108</v>
      </c>
      <c r="H60" s="239"/>
    </row>
    <row r="61" customFormat="false" ht="13.2" hidden="false" customHeight="false" outlineLevel="0" collapsed="false">
      <c r="A61" s="131"/>
      <c r="D61" s="239"/>
      <c r="E61" s="237" t="s">
        <v>321</v>
      </c>
      <c r="F61" s="245" t="n">
        <f aca="false">SOA!H28</f>
        <v>622.192539570295</v>
      </c>
      <c r="G61" s="247" t="s">
        <v>59</v>
      </c>
      <c r="H61" s="239"/>
    </row>
    <row r="62" customFormat="false" ht="13.2" hidden="false" customHeight="false" outlineLevel="0" collapsed="false">
      <c r="A62" s="131"/>
      <c r="D62" s="239"/>
      <c r="E62" s="237" t="s">
        <v>322</v>
      </c>
      <c r="F62" s="245" t="n">
        <f aca="false">F61/F59</f>
        <v>2.02212575360346</v>
      </c>
      <c r="G62" s="245"/>
      <c r="H62" s="239"/>
    </row>
    <row r="63" customFormat="false" ht="13.2" hidden="false" customHeight="false" outlineLevel="0" collapsed="false">
      <c r="A63" s="131"/>
      <c r="D63" s="239"/>
      <c r="E63" s="237"/>
      <c r="F63" s="245"/>
      <c r="G63" s="245"/>
      <c r="H63" s="239"/>
    </row>
    <row r="64" customFormat="false" ht="13.2" hidden="false" customHeight="false" outlineLevel="0" collapsed="false">
      <c r="A64" s="131"/>
      <c r="D64" s="239"/>
      <c r="E64" s="237"/>
      <c r="F64" s="245" t="n">
        <v>1</v>
      </c>
      <c r="G64" s="247" t="s">
        <v>108</v>
      </c>
      <c r="H64" s="239"/>
    </row>
    <row r="65" customFormat="false" ht="13.2" hidden="false" customHeight="false" outlineLevel="0" collapsed="false">
      <c r="A65" s="131"/>
      <c r="D65" s="249" t="s">
        <v>323</v>
      </c>
      <c r="E65" s="249"/>
      <c r="F65" s="249"/>
      <c r="G65" s="249"/>
      <c r="H65" s="249"/>
    </row>
    <row r="66" customFormat="false" ht="13.2" hidden="false" customHeight="false" outlineLevel="0" collapsed="false">
      <c r="A66" s="131"/>
      <c r="D66" s="239"/>
      <c r="E66" s="237" t="s">
        <v>126</v>
      </c>
      <c r="F66" s="250" t="n">
        <f aca="false">'Design Calculator'!F89</f>
        <v>0.25</v>
      </c>
      <c r="G66" s="245"/>
      <c r="H66" s="239"/>
    </row>
    <row r="67" customFormat="false" ht="13.2" hidden="false" customHeight="false" outlineLevel="0" collapsed="false">
      <c r="A67" s="131"/>
      <c r="D67" s="239"/>
      <c r="E67" s="237" t="s">
        <v>127</v>
      </c>
      <c r="F67" s="245" t="n">
        <f aca="false">'Device Parameters'!D25/'Device Parameters'!D22*F66</f>
        <v>4.80769230769231</v>
      </c>
      <c r="G67" s="245" t="s">
        <v>112</v>
      </c>
      <c r="H67" s="239"/>
    </row>
    <row r="68" customFormat="false" ht="13.2" hidden="false" customHeight="false" outlineLevel="0" collapsed="false">
      <c r="A68" s="131"/>
      <c r="D68" s="239"/>
      <c r="E68" s="150" t="s">
        <v>324</v>
      </c>
      <c r="F68" s="250" t="n">
        <f aca="false">'Design Calculator'!F91</f>
        <v>10</v>
      </c>
      <c r="G68" s="245" t="s">
        <v>112</v>
      </c>
      <c r="H68" s="239"/>
    </row>
    <row r="69" customFormat="false" ht="13.2" hidden="false" customHeight="false" outlineLevel="0" collapsed="false">
      <c r="A69" s="131"/>
      <c r="D69" s="239"/>
      <c r="E69" s="237" t="s">
        <v>129</v>
      </c>
      <c r="F69" s="245" t="n">
        <f aca="false">'Device Parameters'!D22/'Device Parameters'!D25*F68</f>
        <v>0.52</v>
      </c>
      <c r="G69" s="245" t="s">
        <v>108</v>
      </c>
      <c r="H69" s="239"/>
    </row>
    <row r="70" customFormat="false" ht="13.2" hidden="false" customHeight="false" outlineLevel="0" collapsed="false">
      <c r="A70" s="131"/>
      <c r="D70" s="239"/>
      <c r="E70" s="150" t="s">
        <v>325</v>
      </c>
      <c r="F70" s="245" t="n">
        <f aca="false">SOA!C26</f>
        <v>1457.01296322977</v>
      </c>
      <c r="G70" s="245" t="s">
        <v>59</v>
      </c>
      <c r="H70" s="239"/>
    </row>
    <row r="71" customFormat="false" ht="13.2" hidden="false" customHeight="false" outlineLevel="0" collapsed="false">
      <c r="A71" s="131"/>
      <c r="D71" s="239"/>
      <c r="E71" s="237" t="s">
        <v>322</v>
      </c>
      <c r="F71" s="245" t="n">
        <f aca="false">F70/F33</f>
        <v>2.07158241217503</v>
      </c>
      <c r="G71" s="245"/>
      <c r="H71" s="239"/>
    </row>
    <row r="72" customFormat="false" ht="13.2" hidden="false" customHeight="false" outlineLevel="0" collapsed="false">
      <c r="A72" s="131"/>
      <c r="D72" s="239"/>
      <c r="E72" s="237"/>
      <c r="F72" s="245"/>
      <c r="G72" s="245"/>
      <c r="H72" s="239"/>
    </row>
    <row r="73" customFormat="false" ht="13.2" hidden="false" customHeight="false" outlineLevel="0" collapsed="false">
      <c r="A73" s="131"/>
      <c r="D73" s="239"/>
      <c r="E73" s="237"/>
      <c r="F73" s="245"/>
      <c r="G73" s="245"/>
      <c r="H73" s="239"/>
    </row>
    <row r="74" customFormat="false" ht="13.2" hidden="false" customHeight="false" outlineLevel="0" collapsed="false">
      <c r="A74" s="131"/>
      <c r="D74" s="239"/>
      <c r="E74" s="237"/>
      <c r="F74" s="245"/>
      <c r="G74" s="245"/>
      <c r="H74" s="239"/>
    </row>
    <row r="75" customFormat="false" ht="13.2" hidden="false" customHeight="false" outlineLevel="0" collapsed="false">
      <c r="A75" s="131"/>
      <c r="D75" s="239"/>
      <c r="E75" s="237"/>
      <c r="F75" s="245"/>
      <c r="G75" s="245"/>
      <c r="H75" s="239"/>
    </row>
    <row r="76" customFormat="false" ht="13.2" hidden="false" customHeight="false" outlineLevel="0" collapsed="false">
      <c r="A76" s="131"/>
      <c r="D76" s="239"/>
      <c r="E76" s="237"/>
      <c r="F76" s="245"/>
      <c r="G76" s="245"/>
      <c r="H76" s="239"/>
    </row>
    <row r="77" customFormat="false" ht="13.2" hidden="false" customHeight="false" outlineLevel="0" collapsed="false">
      <c r="A77" s="131"/>
      <c r="D77" s="239"/>
      <c r="E77" s="237"/>
      <c r="F77" s="245"/>
      <c r="G77" s="245"/>
      <c r="H77" s="239"/>
    </row>
    <row r="78" customFormat="false" ht="13.2" hidden="false" customHeight="false" outlineLevel="0" collapsed="false">
      <c r="A78" s="131"/>
      <c r="D78" s="239"/>
      <c r="E78" s="237"/>
      <c r="F78" s="245"/>
      <c r="G78" s="245"/>
      <c r="H78" s="239"/>
    </row>
    <row r="79" customFormat="false" ht="13.2" hidden="false" customHeight="false" outlineLevel="0" collapsed="false">
      <c r="A79" s="131"/>
      <c r="D79" s="239"/>
      <c r="E79" s="237"/>
      <c r="F79" s="245"/>
      <c r="G79" s="245"/>
      <c r="H79" s="239"/>
    </row>
    <row r="80" customFormat="false" ht="13.2" hidden="false" customHeight="false" outlineLevel="0" collapsed="false">
      <c r="A80" s="131"/>
      <c r="D80" s="239"/>
      <c r="E80" s="239"/>
      <c r="F80" s="245"/>
      <c r="G80" s="239"/>
      <c r="H80" s="239"/>
    </row>
    <row r="81" customFormat="false" ht="13.2" hidden="false" customHeight="false" outlineLevel="0" collapsed="false">
      <c r="A81" s="53"/>
      <c r="D81" s="239"/>
      <c r="E81" s="237"/>
      <c r="F81" s="245"/>
      <c r="G81" s="239"/>
      <c r="H81" s="239"/>
    </row>
    <row r="82" customFormat="false" ht="13.2" hidden="false" customHeight="false" outlineLevel="0" collapsed="false">
      <c r="A82" s="53"/>
      <c r="D82" s="239"/>
      <c r="E82" s="237"/>
      <c r="F82" s="245"/>
      <c r="G82" s="239"/>
      <c r="H82" s="239"/>
    </row>
    <row r="83" customFormat="false" ht="13.2" hidden="false" customHeight="false" outlineLevel="0" collapsed="false">
      <c r="D83" s="245"/>
      <c r="E83" s="237"/>
      <c r="F83" s="245"/>
      <c r="G83" s="239"/>
      <c r="H83" s="239"/>
    </row>
    <row r="84" customFormat="false" ht="13.2" hidden="false" customHeight="false" outlineLevel="0" collapsed="false">
      <c r="D84" s="245"/>
      <c r="E84" s="237"/>
      <c r="F84" s="245"/>
      <c r="G84" s="239"/>
      <c r="H84" s="239"/>
    </row>
    <row r="85" customFormat="false" ht="13.2" hidden="false" customHeight="false" outlineLevel="0" collapsed="false">
      <c r="D85" s="245"/>
      <c r="E85" s="237"/>
      <c r="F85" s="245"/>
      <c r="G85" s="239"/>
      <c r="H85" s="239"/>
    </row>
    <row r="86" customFormat="false" ht="13.2" hidden="false" customHeight="false" outlineLevel="0" collapsed="false">
      <c r="D86" s="239"/>
      <c r="E86" s="237"/>
      <c r="F86" s="245"/>
      <c r="G86" s="239"/>
      <c r="H86" s="239"/>
      <c r="J86" s="251"/>
      <c r="M86" s="251"/>
    </row>
    <row r="87" customFormat="false" ht="13.2" hidden="false" customHeight="false" outlineLevel="0" collapsed="false">
      <c r="D87" s="239"/>
      <c r="E87" s="237"/>
      <c r="F87" s="245"/>
      <c r="G87" s="239"/>
      <c r="H87" s="239"/>
      <c r="J87" s="251"/>
      <c r="M87" s="251"/>
    </row>
    <row r="88" customFormat="false" ht="13.2" hidden="false" customHeight="false" outlineLevel="0" collapsed="false">
      <c r="D88" s="239"/>
      <c r="E88" s="241"/>
      <c r="F88" s="245"/>
      <c r="G88" s="239" t="s">
        <v>326</v>
      </c>
      <c r="H88" s="239"/>
      <c r="J88" s="252"/>
      <c r="M88" s="252"/>
    </row>
    <row r="89" customFormat="false" ht="13.2" hidden="false" customHeight="false" outlineLevel="0" collapsed="false">
      <c r="D89" s="239"/>
      <c r="E89" s="237"/>
      <c r="F89" s="245"/>
      <c r="G89" s="239"/>
      <c r="H89" s="239"/>
      <c r="J89" s="252"/>
      <c r="M89" s="252"/>
    </row>
    <row r="90" customFormat="false" ht="13.2" hidden="false" customHeight="false" outlineLevel="0" collapsed="false">
      <c r="D90" s="239"/>
      <c r="E90" s="241"/>
      <c r="F90" s="245"/>
      <c r="G90" s="239"/>
      <c r="H90" s="239"/>
    </row>
    <row r="91" customFormat="false" ht="13.2" hidden="false" customHeight="false" outlineLevel="0" collapsed="false">
      <c r="D91" s="239"/>
      <c r="E91" s="241"/>
      <c r="F91" s="245"/>
      <c r="G91" s="239"/>
      <c r="H91" s="239"/>
      <c r="I91" s="0" t="s">
        <v>327</v>
      </c>
      <c r="L91" s="0" t="s">
        <v>328</v>
      </c>
    </row>
    <row r="92" customFormat="false" ht="13.2" hidden="false" customHeight="false" outlineLevel="0" collapsed="false">
      <c r="D92" s="239"/>
      <c r="E92" s="237"/>
      <c r="F92" s="245"/>
      <c r="G92" s="245" t="s">
        <v>44</v>
      </c>
      <c r="H92" s="239"/>
    </row>
    <row r="93" customFormat="false" ht="13.2" hidden="false" customHeight="false" outlineLevel="0" collapsed="false">
      <c r="D93" s="239"/>
      <c r="E93" s="237"/>
      <c r="F93" s="245"/>
      <c r="G93" s="245" t="s">
        <v>329</v>
      </c>
      <c r="H93" s="239"/>
    </row>
    <row r="94" customFormat="false" ht="13.2" hidden="false" customHeight="false" outlineLevel="0" collapsed="false">
      <c r="D94" s="239"/>
      <c r="E94" s="237"/>
      <c r="F94" s="245"/>
      <c r="G94" s="245" t="s">
        <v>112</v>
      </c>
      <c r="H94" s="239"/>
    </row>
    <row r="95" customFormat="false" ht="13.2" hidden="false" customHeight="false" outlineLevel="0" collapsed="false">
      <c r="D95" s="239"/>
      <c r="E95" s="237"/>
      <c r="F95" s="239"/>
      <c r="G95" s="245"/>
      <c r="H95" s="239"/>
    </row>
    <row r="96" customFormat="false" ht="13.2" hidden="false" customHeight="false" outlineLevel="0" collapsed="false">
      <c r="D96" s="239"/>
      <c r="E96" s="237"/>
      <c r="F96" s="239"/>
      <c r="G96" s="245"/>
      <c r="H96" s="239"/>
    </row>
    <row r="97" customFormat="false" ht="13.2" hidden="false" customHeight="false" outlineLevel="0" collapsed="false">
      <c r="D97" s="239"/>
      <c r="E97" s="237" t="s">
        <v>330</v>
      </c>
      <c r="F97" s="242" t="n">
        <f aca="false">IF('Design Calculator'!F73="YES", Equations!F68, Equations!F48)*'Device Parameters'!C39*1000/'Device Parameters'!E43*0.001</f>
        <v>6.33898305084746</v>
      </c>
      <c r="G97" s="245" t="s">
        <v>108</v>
      </c>
      <c r="H97" s="239"/>
    </row>
    <row r="98" customFormat="false" ht="13.2" hidden="false" customHeight="false" outlineLevel="0" collapsed="false">
      <c r="D98" s="239"/>
      <c r="E98" s="237" t="s">
        <v>331</v>
      </c>
      <c r="F98" s="242" t="n">
        <f aca="false">IF('Design Calculator'!F73="YES", Equations!F68, Equations!F48)*0.001*'Device Parameters'!D39*1000/'Device Parameters'!D43</f>
        <v>8.125</v>
      </c>
      <c r="G98" s="245" t="s">
        <v>108</v>
      </c>
      <c r="H98" s="239"/>
    </row>
    <row r="99" customFormat="false" ht="13.2" hidden="false" customHeight="false" outlineLevel="0" collapsed="false">
      <c r="D99" s="239"/>
      <c r="E99" s="237" t="s">
        <v>332</v>
      </c>
      <c r="F99" s="242" t="n">
        <f aca="false">IF('Design Calculator'!F73="YES", Equations!F68, Equations!F48)*0.001*'Device Parameters'!E39*1000/'Device Parameters'!C43</f>
        <v>12.3333333333333</v>
      </c>
      <c r="G99" s="245" t="s">
        <v>108</v>
      </c>
      <c r="H99" s="239"/>
    </row>
    <row r="100" customFormat="false" ht="13.2" hidden="false" customHeight="false" outlineLevel="0" collapsed="false">
      <c r="D100" s="239"/>
      <c r="E100" s="237" t="s">
        <v>333</v>
      </c>
      <c r="F100" s="239" t="n">
        <f aca="false">IF('Design Calculator'!F73="YES", Equations!F68, Equations!F48)*(H100+I100+J100)</f>
        <v>82.6057142857143</v>
      </c>
      <c r="G100" s="245" t="s">
        <v>108</v>
      </c>
      <c r="H100" s="239" t="n">
        <f aca="false">(('Device Parameters'!C39-'Device Parameters'!E40)/'Device Parameters'!E45)*7</f>
        <v>0.182</v>
      </c>
      <c r="I100" s="0" t="n">
        <f aca="false">(('Device Parameters'!C39-'Device Parameters'!C40)/'Device Parameters'!D46)*8</f>
        <v>7.82857142857143</v>
      </c>
      <c r="J100" s="0" t="n">
        <f aca="false">(('Device Parameters'!C40-'Device Parameters'!D41)/'Device Parameters'!D46)</f>
        <v>0.25</v>
      </c>
    </row>
    <row r="101" customFormat="false" ht="13.2" hidden="false" customHeight="false" outlineLevel="0" collapsed="false">
      <c r="D101" s="239"/>
      <c r="E101" s="237" t="s">
        <v>334</v>
      </c>
      <c r="F101" s="239" t="n">
        <f aca="false">IF('Design Calculator'!F73="YES", Equations!F68, Equations!F48)*(H101+I101+J101)</f>
        <v>82.8771428571429</v>
      </c>
      <c r="G101" s="245" t="s">
        <v>108</v>
      </c>
      <c r="H101" s="239" t="n">
        <f aca="false">(('Device Parameters'!D39-'Device Parameters'!D40)/'Device Parameters'!D45)*7</f>
        <v>0.252</v>
      </c>
      <c r="I101" s="0" t="n">
        <f aca="false">(('Device Parameters'!D39-'Device Parameters'!D40)/'Device Parameters'!D46)*8</f>
        <v>7.71428571428572</v>
      </c>
      <c r="J101" s="0" t="n">
        <f aca="false">(('Device Parameters'!D40-'Device Parameters'!D41)/'Device Parameters'!D46)</f>
        <v>0.321428571428571</v>
      </c>
    </row>
    <row r="102" customFormat="false" ht="13.2" hidden="false" customHeight="false" outlineLevel="0" collapsed="false">
      <c r="D102" s="239"/>
      <c r="E102" s="237" t="s">
        <v>335</v>
      </c>
      <c r="F102" s="239" t="n">
        <f aca="false">IF('Design Calculator'!F73="YES", Equations!F68, Equations!F48)*(H102+I102+J102)</f>
        <v>83.7959523809524</v>
      </c>
      <c r="G102" s="245" t="s">
        <v>108</v>
      </c>
      <c r="H102" s="239" t="n">
        <f aca="false">(('Device Parameters'!E39-'Device Parameters'!C40)/'Device Parameters'!C45)*7</f>
        <v>0.358166666666667</v>
      </c>
      <c r="I102" s="0" t="n">
        <f aca="false">(('Device Parameters'!E39-'Device Parameters'!E40)/'Device Parameters'!D46)*8</f>
        <v>7.62857142857143</v>
      </c>
      <c r="J102" s="0" t="n">
        <f aca="false">(('Device Parameters'!E40-'Device Parameters'!D41)/'Device Parameters'!D46)</f>
        <v>0.392857142857143</v>
      </c>
    </row>
    <row r="103" customFormat="false" ht="13.2" hidden="false" customHeight="false" outlineLevel="0" collapsed="false">
      <c r="D103" s="239"/>
      <c r="E103" s="237" t="s">
        <v>336</v>
      </c>
      <c r="F103" s="239" t="n">
        <f aca="false">(1+'Design Calculator'!F123/'Design Calculator'!F124)*'Device Parameters'!C51</f>
        <v>36.8385714285714</v>
      </c>
      <c r="G103" s="245"/>
      <c r="H103" s="239"/>
    </row>
    <row r="104" customFormat="false" ht="13.2" hidden="false" customHeight="false" outlineLevel="0" collapsed="false">
      <c r="D104" s="239"/>
      <c r="E104" s="237" t="s">
        <v>337</v>
      </c>
      <c r="F104" s="239" t="n">
        <f aca="false">(1+'Design Calculator'!F123/'Design Calculator'!F124)*'Device Parameters'!D51</f>
        <v>37.6028571428571</v>
      </c>
      <c r="G104" s="245"/>
      <c r="H104" s="239"/>
    </row>
    <row r="105" customFormat="false" ht="13.2" hidden="false" customHeight="false" outlineLevel="0" collapsed="false">
      <c r="D105" s="239"/>
      <c r="E105" s="237" t="s">
        <v>338</v>
      </c>
      <c r="F105" s="239" t="n">
        <f aca="false">(1+'Design Calculator'!F123/'Design Calculator'!F124)*'Device Parameters'!E51</f>
        <v>38.52</v>
      </c>
      <c r="G105" s="239"/>
      <c r="H105" s="239"/>
    </row>
    <row r="106" customFormat="false" ht="13.2" hidden="false" customHeight="false" outlineLevel="0" collapsed="false">
      <c r="D106" s="239"/>
      <c r="E106" s="237" t="s">
        <v>339</v>
      </c>
      <c r="F106" s="239" t="n">
        <f aca="false">('Design Calculator'!F123*'Device Parameters'!C52)</f>
        <v>2250</v>
      </c>
      <c r="G106" s="239"/>
      <c r="H106" s="239"/>
    </row>
    <row r="107" customFormat="false" ht="13.2" hidden="false" customHeight="false" outlineLevel="0" collapsed="false">
      <c r="D107" s="239"/>
      <c r="E107" s="237" t="s">
        <v>340</v>
      </c>
      <c r="F107" s="239" t="n">
        <f aca="false">('Design Calculator'!F123*'Device Parameters'!$D$52)</f>
        <v>3000</v>
      </c>
      <c r="G107" s="239"/>
      <c r="H107" s="239"/>
    </row>
    <row r="108" customFormat="false" ht="13.2" hidden="false" customHeight="false" outlineLevel="0" collapsed="false">
      <c r="D108" s="239"/>
      <c r="E108" s="237" t="s">
        <v>341</v>
      </c>
      <c r="F108" s="239" t="n">
        <f aca="false">('Design Calculator'!F123*'Device Parameters'!$E$52)</f>
        <v>3750</v>
      </c>
      <c r="G108" s="239"/>
      <c r="H108" s="239"/>
    </row>
    <row r="109" customFormat="false" ht="13.2" hidden="false" customHeight="false" outlineLevel="0" collapsed="false">
      <c r="D109" s="239"/>
      <c r="E109" s="237"/>
      <c r="F109" s="239"/>
      <c r="G109" s="239"/>
      <c r="H109" s="239"/>
    </row>
    <row r="110" customFormat="false" ht="13.2" hidden="false" customHeight="false" outlineLevel="0" collapsed="false">
      <c r="D110" s="239"/>
      <c r="E110" s="237"/>
      <c r="F110" s="239"/>
      <c r="G110" s="239"/>
      <c r="H110" s="239"/>
    </row>
    <row r="111" customFormat="false" ht="13.2" hidden="false" customHeight="false" outlineLevel="0" collapsed="false">
      <c r="D111" s="253"/>
      <c r="E111" s="239"/>
      <c r="F111" s="239"/>
      <c r="G111" s="239"/>
      <c r="H111" s="239"/>
      <c r="I111" s="0" t="s">
        <v>342</v>
      </c>
      <c r="L111" s="0" t="s">
        <v>343</v>
      </c>
    </row>
    <row r="112" customFormat="false" ht="13.2" hidden="false" customHeight="false" outlineLevel="0" collapsed="false">
      <c r="D112" s="253"/>
      <c r="E112" s="239"/>
      <c r="F112" s="239"/>
      <c r="G112" s="239"/>
      <c r="H112" s="239"/>
      <c r="I112" s="0" t="s">
        <v>344</v>
      </c>
      <c r="L112" s="0" t="s">
        <v>345</v>
      </c>
    </row>
    <row r="113" customFormat="false" ht="13.2" hidden="false" customHeight="false" outlineLevel="0" collapsed="false">
      <c r="D113" s="253"/>
      <c r="E113" s="239"/>
      <c r="F113" s="239"/>
      <c r="G113" s="239"/>
      <c r="H113" s="239"/>
      <c r="I113" s="0" t="s">
        <v>346</v>
      </c>
      <c r="L113" s="0" t="s">
        <v>347</v>
      </c>
    </row>
    <row r="114" customFormat="false" ht="13.2" hidden="false" customHeight="false" outlineLevel="0" collapsed="false">
      <c r="D114" s="239"/>
      <c r="E114" s="239"/>
      <c r="F114" s="239"/>
      <c r="G114" s="239"/>
      <c r="H114" s="239"/>
    </row>
    <row r="115" customFormat="false" ht="13.2" hidden="false" customHeight="false" outlineLevel="0" collapsed="false">
      <c r="D115" s="239"/>
      <c r="E115" s="239"/>
      <c r="F115" s="239"/>
      <c r="G115" s="239"/>
      <c r="H115" s="239"/>
    </row>
    <row r="116" customFormat="false" ht="13.2" hidden="false" customHeight="false" outlineLevel="0" collapsed="false">
      <c r="D116" s="239"/>
      <c r="E116" s="241" t="s">
        <v>137</v>
      </c>
      <c r="F116" s="239"/>
      <c r="G116" s="239"/>
      <c r="H116" s="239"/>
    </row>
    <row r="117" customFormat="false" ht="13.2" hidden="false" customHeight="false" outlineLevel="0" collapsed="false">
      <c r="D117" s="239"/>
      <c r="E117" s="241" t="s">
        <v>136</v>
      </c>
      <c r="F117" s="239"/>
      <c r="G117" s="239"/>
      <c r="H117" s="239"/>
    </row>
    <row r="118" customFormat="false" ht="13.2" hidden="false" customHeight="false" outlineLevel="0" collapsed="false">
      <c r="D118" s="239"/>
      <c r="E118" s="241"/>
      <c r="F118" s="243" t="s">
        <v>44</v>
      </c>
      <c r="G118" s="243" t="s">
        <v>348</v>
      </c>
      <c r="H118" s="243" t="s">
        <v>349</v>
      </c>
      <c r="I118" s="23" t="s">
        <v>350</v>
      </c>
    </row>
    <row r="119" customFormat="false" ht="13.2" hidden="false" customHeight="false" outlineLevel="0" collapsed="false">
      <c r="D119" s="239"/>
      <c r="E119" s="241" t="s">
        <v>351</v>
      </c>
      <c r="F119" s="254" t="n">
        <f aca="false">('Design Calculator'!F97-'Design Calculator'!F98)*1000/20</f>
        <v>150</v>
      </c>
      <c r="G119" s="254" t="n">
        <f aca="false">('Design Calculator'!F97-'Design Calculator'!F98)*1000/20</f>
        <v>150</v>
      </c>
      <c r="H119" s="239"/>
    </row>
    <row r="120" customFormat="false" ht="13.2" hidden="false" customHeight="false" outlineLevel="0" collapsed="false">
      <c r="D120" s="239"/>
      <c r="E120" s="241" t="s">
        <v>352</v>
      </c>
      <c r="F120" s="254" t="n">
        <f aca="false">2.48*F119/('Design Calculator'!F98-2.48)-F121</f>
        <v>5.32926483110985</v>
      </c>
      <c r="G120" s="254" t="n">
        <f aca="false">2.48*G119/('Design Calculator'!F98-2.48)</f>
        <v>11.4391143911439</v>
      </c>
      <c r="H120" s="239"/>
    </row>
    <row r="121" customFormat="false" ht="13.2" hidden="false" customHeight="false" outlineLevel="0" collapsed="false">
      <c r="D121" s="239"/>
      <c r="E121" s="241" t="s">
        <v>353</v>
      </c>
      <c r="F121" s="254" t="n">
        <f aca="false">(F119*'Design Calculator'!F98*2.46)/('Design Calculator'!F99*('Design Calculator'!F98-2.48))</f>
        <v>6.10984956003406</v>
      </c>
      <c r="G121" s="254" t="n">
        <f aca="false">('Design Calculator'!F99-'Design Calculator'!F100)*1000/21</f>
        <v>95.2380952380952</v>
      </c>
      <c r="H121" s="239"/>
    </row>
    <row r="122" customFormat="false" ht="13.2" hidden="false" customHeight="false" outlineLevel="0" collapsed="false">
      <c r="D122" s="239"/>
      <c r="E122" s="241" t="s">
        <v>354</v>
      </c>
      <c r="F122" s="243"/>
      <c r="G122" s="254" t="n">
        <f aca="false">2.46*G121/('Design Calculator'!F99-2.46)</f>
        <v>3.74617387728996</v>
      </c>
      <c r="H122" s="239"/>
    </row>
    <row r="123" customFormat="false" ht="13.2" hidden="false" customHeight="false" outlineLevel="0" collapsed="false">
      <c r="B123" s="255"/>
      <c r="C123" s="256"/>
      <c r="D123" s="257"/>
      <c r="E123" s="258" t="s">
        <v>355</v>
      </c>
      <c r="F123" s="254" t="n">
        <f aca="false">2.41+('Design Calculator'!F105*((2.41/('Design Calculator'!F106+'Design Calculator'!F107))+(16/1000)))</f>
        <v>8.19483146067416</v>
      </c>
      <c r="G123" s="254" t="n">
        <f aca="false">2.41+('Design Calculator'!F$105*((2.41/'Design Calculator'!F$106)+(16/1000)))</f>
        <v>36.2447826086957</v>
      </c>
      <c r="H123" s="239"/>
    </row>
    <row r="124" customFormat="false" ht="13.2" hidden="false" customHeight="false" outlineLevel="0" collapsed="false">
      <c r="B124" s="259"/>
      <c r="C124" s="122"/>
      <c r="D124" s="260"/>
      <c r="E124" s="261" t="s">
        <v>356</v>
      </c>
      <c r="F124" s="254" t="n">
        <f aca="false">2.48+('Design Calculator'!F105*((2.48/('Design Calculator'!F106+'Design Calculator'!F107))+(20/1000)))</f>
        <v>8.96314606741573</v>
      </c>
      <c r="G124" s="254" t="n">
        <f aca="false">2.48+('Design Calculator'!F$105*((2.48/'Design Calculator'!F$106)+(20/1000)))</f>
        <v>37.8278260869565</v>
      </c>
      <c r="H124" s="239"/>
    </row>
    <row r="125" customFormat="false" ht="13.2" hidden="false" customHeight="false" outlineLevel="0" collapsed="false">
      <c r="B125" s="262"/>
      <c r="C125" s="263"/>
      <c r="D125" s="264"/>
      <c r="E125" s="265" t="s">
        <v>357</v>
      </c>
      <c r="F125" s="254" t="n">
        <f aca="false">2.55+('Design Calculator'!F105*((2.55/('Design Calculator'!F106+'Design Calculator'!F107))+(24/1000)))</f>
        <v>9.7314606741573</v>
      </c>
      <c r="G125" s="254" t="n">
        <f aca="false">2.55+('Design Calculator'!F$105*((2.55/'Design Calculator'!F$106)+(24/1000)))</f>
        <v>39.4108695652174</v>
      </c>
      <c r="H125" s="239"/>
    </row>
    <row r="126" customFormat="false" ht="13.2" hidden="false" customHeight="false" outlineLevel="0" collapsed="false">
      <c r="D126" s="239"/>
      <c r="E126" s="266" t="s">
        <v>358</v>
      </c>
      <c r="F126" s="254" t="n">
        <f aca="false">2.41*('Design Calculator'!F105+'Design Calculator'!F106+'Design Calculator'!F107)/('Design Calculator'!F106+'Design Calculator'!F107)</f>
        <v>5.79483146067416</v>
      </c>
      <c r="G126" s="254" t="n">
        <f aca="false">2.41*('Design Calculator'!F$105+'Design Calculator'!F$106)/'Design Calculator'!F$106</f>
        <v>33.8447826086957</v>
      </c>
      <c r="H126" s="239"/>
    </row>
    <row r="127" customFormat="false" ht="13.2" hidden="false" customHeight="false" outlineLevel="0" collapsed="false">
      <c r="D127" s="239"/>
      <c r="E127" s="266" t="s">
        <v>359</v>
      </c>
      <c r="F127" s="254" t="n">
        <f aca="false">2.48*('Design Calculator'!F105+'Design Calculator'!F106+'Design Calculator'!F107)/('Design Calculator'!F106+'Design Calculator'!F107)</f>
        <v>5.96314606741573</v>
      </c>
      <c r="G127" s="254" t="n">
        <f aca="false">2.48*('Design Calculator'!F$105+'Design Calculator'!F$106)/'Design Calculator'!F$106</f>
        <v>34.8278260869565</v>
      </c>
      <c r="H127" s="239"/>
    </row>
    <row r="128" customFormat="false" ht="13.2" hidden="false" customHeight="false" outlineLevel="0" collapsed="false">
      <c r="D128" s="239"/>
      <c r="E128" s="266" t="s">
        <v>360</v>
      </c>
      <c r="F128" s="254" t="n">
        <f aca="false">2.55*('Design Calculator'!F105+'Design Calculator'!F106+'Design Calculator'!F107)/('Design Calculator'!F106+'Design Calculator'!F107)</f>
        <v>6.1314606741573</v>
      </c>
      <c r="G128" s="254" t="n">
        <f aca="false">2.55*('Design Calculator'!F$105+'Design Calculator'!F$106)/'Design Calculator'!F$106</f>
        <v>35.8108695652174</v>
      </c>
      <c r="H128" s="239"/>
    </row>
    <row r="129" customFormat="false" ht="13.2" hidden="false" customHeight="false" outlineLevel="0" collapsed="false">
      <c r="B129" s="255"/>
      <c r="C129" s="256"/>
      <c r="D129" s="257"/>
      <c r="E129" s="258" t="s">
        <v>361</v>
      </c>
      <c r="F129" s="254" t="n">
        <f aca="false">2.39*('Design Calculator'!F105+'Design Calculator'!F106+'Design Calculator'!F107)/'Design Calculator'!F107</f>
        <v>6.44020986358867</v>
      </c>
      <c r="G129" s="254" t="n">
        <f aca="false">2.39*('Design Calculator'!F$107+'Design Calculator'!F$108)/'Design Calculator'!F$108</f>
        <v>63.2902673796791</v>
      </c>
      <c r="H129" s="239"/>
    </row>
    <row r="130" customFormat="false" ht="13.2" hidden="false" customHeight="false" outlineLevel="0" collapsed="false">
      <c r="B130" s="259"/>
      <c r="C130" s="122"/>
      <c r="D130" s="260"/>
      <c r="E130" s="261" t="s">
        <v>362</v>
      </c>
      <c r="F130" s="254" t="n">
        <f aca="false">2.46*('Design Calculator'!F$105+'Design Calculator'!F$106+'Design Calculator'!F$107)/'Design Calculator'!F$107</f>
        <v>6.6288352570829</v>
      </c>
      <c r="G130" s="254" t="n">
        <f aca="false">2.46*('Design Calculator'!F$107+'Design Calculator'!F$108)/'Design Calculator'!F$108</f>
        <v>65.1439572192513</v>
      </c>
      <c r="H130" s="239"/>
    </row>
    <row r="131" customFormat="false" ht="13.2" hidden="false" customHeight="false" outlineLevel="0" collapsed="false">
      <c r="B131" s="262"/>
      <c r="C131" s="263"/>
      <c r="D131" s="264"/>
      <c r="E131" s="265" t="s">
        <v>363</v>
      </c>
      <c r="F131" s="254" t="n">
        <f aca="false">2.53*('Design Calculator'!F$105+'Design Calculator'!F$106+'Design Calculator'!F$107)/'Design Calculator'!F$107</f>
        <v>6.81746065057712</v>
      </c>
      <c r="G131" s="254" t="n">
        <f aca="false">2.53*('Design Calculator'!F$107+'Design Calculator'!F$108)/'Design Calculator'!F$108</f>
        <v>66.9976470588235</v>
      </c>
      <c r="H131" s="239"/>
    </row>
    <row r="132" customFormat="false" ht="13.2" hidden="false" customHeight="false" outlineLevel="0" collapsed="false">
      <c r="D132" s="239"/>
      <c r="E132" s="266" t="s">
        <v>364</v>
      </c>
      <c r="F132" s="254" t="n">
        <f aca="false">2.39+(('Design Calculator'!F$105+'Design Calculator'!F$106)*((2.39/'Design Calculator'!F$107)-(24/1000)))</f>
        <v>2.56420986358867</v>
      </c>
      <c r="G132" s="254" t="n">
        <f aca="false">2.39+('Design Calculator'!F$107*((2.39/'Design Calculator'!F$108)-(24/1000)))</f>
        <v>61.0030673796791</v>
      </c>
      <c r="H132" s="239"/>
    </row>
    <row r="133" customFormat="false" ht="13.2" hidden="false" customHeight="false" outlineLevel="0" collapsed="false">
      <c r="D133" s="239"/>
      <c r="E133" s="266" t="s">
        <v>365</v>
      </c>
      <c r="F133" s="254" t="n">
        <f aca="false">2.46+(('Design Calculator'!F$105+'Design Calculator'!F$106)*((2.46/'Design Calculator'!F$107)-(21/1000)))</f>
        <v>3.2373352570829</v>
      </c>
      <c r="G133" s="254" t="n">
        <f aca="false">2.46+('Design Calculator'!F$107*((2.46/'Design Calculator'!F$108)-(21/1000)))</f>
        <v>63.1426572192513</v>
      </c>
      <c r="H133" s="239"/>
    </row>
    <row r="134" customFormat="false" ht="13.2" hidden="false" customHeight="false" outlineLevel="0" collapsed="false">
      <c r="D134" s="239"/>
      <c r="E134" s="266" t="s">
        <v>366</v>
      </c>
      <c r="F134" s="254" t="n">
        <f aca="false">2.53+(('Design Calculator'!F$105+'Design Calculator'!F$106)*((2.53/'Design Calculator'!F$107)-(16/1000)))</f>
        <v>4.23346065057712</v>
      </c>
      <c r="G134" s="254" t="n">
        <f aca="false">2.53+('Design Calculator'!F$107*((2.53/'Design Calculator'!F$108)-(16/1000)))</f>
        <v>65.4728470588235</v>
      </c>
      <c r="H134" s="239"/>
    </row>
    <row r="135" customFormat="false" ht="13.2" hidden="false" customHeight="false" outlineLevel="0" collapsed="false">
      <c r="D135" s="239"/>
      <c r="E135" s="239"/>
      <c r="F135" s="239"/>
      <c r="G135" s="239"/>
      <c r="H135" s="239"/>
    </row>
    <row r="136" customFormat="false" ht="13.2" hidden="false" customHeight="false" outlineLevel="0" collapsed="false">
      <c r="D136" s="239"/>
      <c r="E136" s="239"/>
      <c r="F136" s="239"/>
      <c r="G136" s="239"/>
      <c r="H136" s="239"/>
    </row>
    <row r="137" customFormat="false" ht="13.2" hidden="false" customHeight="false" outlineLevel="0" collapsed="false">
      <c r="D137" s="239"/>
      <c r="E137" s="239"/>
      <c r="F137" s="239"/>
      <c r="G137" s="239"/>
      <c r="H137" s="239"/>
    </row>
    <row r="138" customFormat="false" ht="13.2" hidden="false" customHeight="false" outlineLevel="0" collapsed="false">
      <c r="D138" s="239"/>
      <c r="E138" s="239"/>
      <c r="F138" s="239"/>
      <c r="G138" s="239"/>
      <c r="H138" s="239"/>
    </row>
    <row r="139" customFormat="false" ht="13.2" hidden="false" customHeight="false" outlineLevel="0" collapsed="false">
      <c r="D139" s="239"/>
      <c r="E139" s="239"/>
      <c r="F139" s="239"/>
      <c r="G139" s="239"/>
      <c r="H139" s="239"/>
    </row>
    <row r="140" customFormat="false" ht="13.2" hidden="false" customHeight="false" outlineLevel="0" collapsed="false">
      <c r="D140" s="239"/>
      <c r="E140" s="239"/>
      <c r="F140" s="239"/>
      <c r="G140" s="239"/>
      <c r="H140" s="239"/>
    </row>
    <row r="141" customFormat="false" ht="13.2" hidden="false" customHeight="false" outlineLevel="0" collapsed="false">
      <c r="D141" s="239"/>
      <c r="E141" s="239"/>
      <c r="F141" s="239"/>
      <c r="G141" s="239"/>
      <c r="H141" s="239"/>
    </row>
    <row r="142" customFormat="false" ht="13.2" hidden="false" customHeight="false" outlineLevel="0" collapsed="false">
      <c r="D142" s="239"/>
      <c r="E142" s="237" t="s">
        <v>367</v>
      </c>
      <c r="F142" s="245" t="e">
        <f aca="false">'design calculator'!#ref!</f>
        <v>#VALUE!</v>
      </c>
      <c r="G142" s="245" t="s">
        <v>108</v>
      </c>
      <c r="H142" s="239"/>
    </row>
    <row r="143" customFormat="false" ht="13.2" hidden="false" customHeight="false" outlineLevel="0" collapsed="false">
      <c r="D143" s="239"/>
      <c r="E143" s="237" t="s">
        <v>368</v>
      </c>
      <c r="F143" s="245" t="n">
        <f aca="false">'Design Calculator'!F28</f>
        <v>48</v>
      </c>
      <c r="G143" s="245" t="s">
        <v>40</v>
      </c>
      <c r="H143" s="239"/>
    </row>
    <row r="144" customFormat="false" ht="13.2" hidden="false" customHeight="false" outlineLevel="0" collapsed="false">
      <c r="D144" s="239"/>
      <c r="E144" s="237" t="s">
        <v>369</v>
      </c>
      <c r="F144" s="239" t="e">
        <f aca="false">22/F143*F142</f>
        <v>#VALUE!</v>
      </c>
      <c r="G144" s="245" t="s">
        <v>112</v>
      </c>
      <c r="H144" s="239"/>
    </row>
    <row r="145" customFormat="false" ht="13.2" hidden="false" customHeight="false" outlineLevel="0" collapsed="false">
      <c r="D145" s="239"/>
      <c r="E145" s="239"/>
      <c r="F145" s="239"/>
      <c r="G145" s="239"/>
      <c r="H145" s="239"/>
    </row>
    <row r="146" customFormat="false" ht="13.2" hidden="false" customHeight="false" outlineLevel="0" collapsed="false">
      <c r="D146" s="239"/>
      <c r="E146" s="239"/>
      <c r="F146" s="239"/>
      <c r="G146" s="239"/>
      <c r="H146" s="239"/>
    </row>
    <row r="147" customFormat="false" ht="13.2" hidden="false" customHeight="false" outlineLevel="0" collapsed="false">
      <c r="D147" s="239"/>
      <c r="E147" s="239"/>
      <c r="F147" s="239"/>
      <c r="G147" s="239"/>
      <c r="H147" s="239"/>
    </row>
    <row r="148" customFormat="false" ht="13.2" hidden="false" customHeight="false" outlineLevel="0" collapsed="false">
      <c r="D148" s="239"/>
      <c r="E148" s="239"/>
      <c r="F148" s="239"/>
      <c r="G148" s="239"/>
      <c r="H148" s="239"/>
    </row>
    <row r="149" customFormat="false" ht="13.2" hidden="false" customHeight="false" outlineLevel="0" collapsed="false">
      <c r="D149" s="239"/>
      <c r="E149" s="239"/>
      <c r="F149" s="239"/>
      <c r="G149" s="239"/>
      <c r="H149" s="239"/>
    </row>
    <row r="150" customFormat="false" ht="13.2" hidden="false" customHeight="false" outlineLevel="0" collapsed="false">
      <c r="D150" s="239"/>
      <c r="E150" s="239"/>
      <c r="F150" s="239"/>
      <c r="G150" s="239"/>
      <c r="H150" s="239"/>
    </row>
    <row r="151" customFormat="false" ht="13.2" hidden="false" customHeight="false" outlineLevel="0" collapsed="false">
      <c r="D151" s="239"/>
      <c r="E151" s="239"/>
      <c r="F151" s="239"/>
      <c r="G151" s="239"/>
      <c r="H151" s="239"/>
    </row>
    <row r="152" customFormat="false" ht="13.2" hidden="false" customHeight="false" outlineLevel="0" collapsed="false">
      <c r="D152" s="239"/>
      <c r="E152" s="239"/>
      <c r="F152" s="239"/>
      <c r="G152" s="239"/>
      <c r="H152" s="239"/>
    </row>
    <row r="153" customFormat="false" ht="13.2" hidden="false" customHeight="false" outlineLevel="0" collapsed="false">
      <c r="D153" s="239"/>
      <c r="E153" s="239"/>
      <c r="F153" s="239"/>
      <c r="G153" s="239"/>
      <c r="H153" s="239"/>
    </row>
    <row r="154" customFormat="false" ht="13.2" hidden="false" customHeight="false" outlineLevel="0" collapsed="false">
      <c r="D154" s="239"/>
      <c r="E154" s="239"/>
      <c r="F154" s="239"/>
      <c r="G154" s="239"/>
      <c r="H154" s="239"/>
    </row>
    <row r="155" customFormat="false" ht="13.2" hidden="false" customHeight="false" outlineLevel="0" collapsed="false">
      <c r="D155" s="239"/>
      <c r="E155" s="239"/>
      <c r="F155" s="239"/>
      <c r="G155" s="239"/>
      <c r="H155" s="239"/>
    </row>
    <row r="156" customFormat="false" ht="13.2" hidden="false" customHeight="false" outlineLevel="0" collapsed="false">
      <c r="D156" s="239"/>
      <c r="E156" s="239"/>
      <c r="F156" s="239"/>
      <c r="G156" s="239"/>
      <c r="H156" s="239"/>
    </row>
    <row r="157" customFormat="false" ht="13.2" hidden="false" customHeight="false" outlineLevel="0" collapsed="false">
      <c r="D157" s="239"/>
      <c r="E157" s="239"/>
      <c r="F157" s="239"/>
      <c r="G157" s="239"/>
      <c r="H157" s="239"/>
    </row>
    <row r="158" customFormat="false" ht="13.2" hidden="false" customHeight="false" outlineLevel="0" collapsed="false">
      <c r="D158" s="239"/>
      <c r="E158" s="239"/>
      <c r="F158" s="239"/>
      <c r="G158" s="239"/>
      <c r="H158" s="239"/>
    </row>
    <row r="159" customFormat="false" ht="13.2" hidden="false" customHeight="false" outlineLevel="0" collapsed="false">
      <c r="D159" s="239"/>
      <c r="E159" s="239"/>
      <c r="F159" s="239"/>
      <c r="G159" s="239"/>
      <c r="H159" s="239"/>
    </row>
    <row r="160" customFormat="false" ht="13.2" hidden="false" customHeight="false" outlineLevel="0" collapsed="false">
      <c r="D160" s="239"/>
      <c r="E160" s="239"/>
      <c r="F160" s="239"/>
      <c r="G160" s="239"/>
      <c r="H160" s="239"/>
    </row>
    <row r="161" customFormat="false" ht="13.2" hidden="false" customHeight="false" outlineLevel="0" collapsed="false">
      <c r="D161" s="239"/>
      <c r="E161" s="239"/>
      <c r="F161" s="239"/>
      <c r="G161" s="239"/>
      <c r="H161" s="239"/>
    </row>
    <row r="162" customFormat="false" ht="13.2" hidden="false" customHeight="false" outlineLevel="0" collapsed="false">
      <c r="D162" s="239"/>
      <c r="E162" s="239"/>
      <c r="F162" s="239"/>
      <c r="G162" s="239"/>
      <c r="H162" s="239"/>
    </row>
    <row r="165" customFormat="false" ht="13.2" hidden="false" customHeight="false" outlineLevel="0" collapsed="false">
      <c r="C165" s="131" t="s">
        <v>370</v>
      </c>
    </row>
    <row r="166" customFormat="false" ht="13.2" hidden="false" customHeight="false" outlineLevel="0" collapsed="false">
      <c r="E166" s="226" t="s">
        <v>371</v>
      </c>
      <c r="F166" s="23" t="n">
        <f aca="false">'Design Calculator'!F41</f>
        <v>0.3</v>
      </c>
    </row>
    <row r="167" customFormat="false" ht="15.6" hidden="false" customHeight="false" outlineLevel="0" collapsed="false">
      <c r="E167" s="226" t="s">
        <v>372</v>
      </c>
      <c r="F167" s="23" t="n">
        <f aca="false">'Design Calculator'!F68</f>
        <v>24</v>
      </c>
    </row>
    <row r="168" customFormat="false" ht="13.2" hidden="false" customHeight="false" outlineLevel="0" collapsed="false">
      <c r="E168" s="226" t="s">
        <v>373</v>
      </c>
      <c r="F168" s="23" t="n">
        <f aca="false">'Design Calculator'!F29</f>
        <v>50</v>
      </c>
    </row>
    <row r="170" customFormat="false" ht="13.2" hidden="false" customHeight="false" outlineLevel="0" collapsed="false">
      <c r="E170" s="226" t="s">
        <v>374</v>
      </c>
      <c r="F170" s="267" t="n">
        <f aca="false">F13</f>
        <v>78</v>
      </c>
    </row>
    <row r="171" customFormat="false" ht="13.2" hidden="false" customHeight="false" outlineLevel="0" collapsed="false">
      <c r="E171" s="226" t="s">
        <v>375</v>
      </c>
      <c r="F171" s="267" t="n">
        <f aca="false">F14</f>
        <v>86.6666666666667</v>
      </c>
    </row>
    <row r="172" customFormat="false" ht="13.2" hidden="false" customHeight="false" outlineLevel="0" collapsed="false">
      <c r="E172" s="226" t="s">
        <v>376</v>
      </c>
      <c r="F172" s="267" t="n">
        <f aca="false">F15</f>
        <v>95.3333333333333</v>
      </c>
    </row>
    <row r="174" customFormat="false" ht="13.2" hidden="false" customHeight="false" outlineLevel="0" collapsed="false">
      <c r="E174" s="226" t="s">
        <v>377</v>
      </c>
      <c r="F174" s="251" t="n">
        <f aca="false">F37</f>
        <v>534.533333333333</v>
      </c>
    </row>
    <row r="175" customFormat="false" ht="13.2" hidden="false" customHeight="false" outlineLevel="0" collapsed="false">
      <c r="E175" s="226" t="s">
        <v>378</v>
      </c>
      <c r="F175" s="251" t="n">
        <f aca="false">F38</f>
        <v>703.333333333333</v>
      </c>
      <c r="Y175" s="53" t="s">
        <v>59</v>
      </c>
    </row>
    <row r="176" customFormat="false" ht="13.2" hidden="false" customHeight="false" outlineLevel="0" collapsed="false">
      <c r="E176" s="226" t="s">
        <v>379</v>
      </c>
      <c r="F176" s="251" t="n">
        <f aca="false">F39</f>
        <v>872.133333333333</v>
      </c>
    </row>
    <row r="181" customFormat="false" ht="13.2" hidden="false" customHeight="false" outlineLevel="0" collapsed="false">
      <c r="D181" s="0" t="s">
        <v>380</v>
      </c>
      <c r="E181" s="226"/>
      <c r="I181" s="0" t="s">
        <v>381</v>
      </c>
      <c r="N181" s="0" t="s">
        <v>382</v>
      </c>
      <c r="R181" s="53" t="s">
        <v>383</v>
      </c>
    </row>
    <row r="182" customFormat="false" ht="13.2" hidden="false" customHeight="false" outlineLevel="0" collapsed="false">
      <c r="D182" s="0" t="s">
        <v>384</v>
      </c>
      <c r="I182" s="0" t="s">
        <v>385</v>
      </c>
      <c r="N182" s="0" t="s">
        <v>386</v>
      </c>
      <c r="R182" s="53" t="s">
        <v>387</v>
      </c>
    </row>
    <row r="183" customFormat="false" ht="13.2" hidden="false" customHeight="false" outlineLevel="0" collapsed="false">
      <c r="B183" s="53" t="s">
        <v>388</v>
      </c>
      <c r="D183" s="268" t="s">
        <v>234</v>
      </c>
      <c r="E183" s="268" t="s">
        <v>216</v>
      </c>
      <c r="F183" s="269" t="s">
        <v>217</v>
      </c>
      <c r="G183" s="268" t="s">
        <v>218</v>
      </c>
      <c r="I183" s="268" t="s">
        <v>234</v>
      </c>
      <c r="J183" s="268" t="s">
        <v>216</v>
      </c>
      <c r="K183" s="268" t="s">
        <v>217</v>
      </c>
      <c r="L183" s="268" t="s">
        <v>218</v>
      </c>
      <c r="N183" s="0" t="s">
        <v>389</v>
      </c>
      <c r="R183" s="268" t="s">
        <v>234</v>
      </c>
      <c r="S183" s="270" t="s">
        <v>216</v>
      </c>
      <c r="T183" s="270" t="s">
        <v>217</v>
      </c>
      <c r="U183" s="270" t="s">
        <v>218</v>
      </c>
      <c r="V183" s="271" t="s">
        <v>390</v>
      </c>
      <c r="X183" s="272" t="s">
        <v>391</v>
      </c>
    </row>
    <row r="184" customFormat="false" ht="13.2" hidden="false" customHeight="false" outlineLevel="0" collapsed="false">
      <c r="B184" s="0" t="n">
        <f aca="false">D184*F184</f>
        <v>540</v>
      </c>
      <c r="D184" s="268" t="n">
        <v>1</v>
      </c>
      <c r="E184" s="273" t="n">
        <f aca="false">(1-$F$271)*F184</f>
        <v>405</v>
      </c>
      <c r="F184" s="273" t="n">
        <f aca="false">($F$175+(D184-VINMAX)*$E$268/$E$269)/D184</f>
        <v>540</v>
      </c>
      <c r="G184" s="273" t="n">
        <f aca="false">F184*(1+$F$271)</f>
        <v>675</v>
      </c>
      <c r="I184" s="268" t="n">
        <v>1</v>
      </c>
      <c r="J184" s="273" t="n">
        <f aca="false">IF(E184&gt;$F$170,$F$170,E184)</f>
        <v>78</v>
      </c>
      <c r="K184" s="273" t="n">
        <f aca="false">IF(F184&gt;$F$171,$F$171,F184)</f>
        <v>86.6666666666667</v>
      </c>
      <c r="L184" s="273" t="n">
        <f aca="false">IF(G184&gt;$F$172,$F$172,G184)</f>
        <v>95.3333333333333</v>
      </c>
      <c r="N184" s="0" t="s">
        <v>392</v>
      </c>
      <c r="R184" s="268" t="n">
        <v>1</v>
      </c>
      <c r="S184" s="273" t="n">
        <f aca="false">IF($R184&gt;$F$168,0.0000000005,J184)</f>
        <v>78</v>
      </c>
      <c r="T184" s="273" t="n">
        <f aca="false">IF($R184&gt;$F$168,0.0000000005,K184)</f>
        <v>86.6666666666667</v>
      </c>
      <c r="U184" s="273" t="n">
        <f aca="false">IF($R184&gt;$F$168,0.0000000005,L184)</f>
        <v>95.3333333333333</v>
      </c>
      <c r="V184" s="273" t="n">
        <f aca="false">$X$184/R184</f>
        <v>1457.01296322977</v>
      </c>
      <c r="X184" s="0" t="n">
        <f aca="false">SOA!C26</f>
        <v>1457.01296322977</v>
      </c>
    </row>
    <row r="185" customFormat="false" ht="13.2" hidden="false" customHeight="false" outlineLevel="0" collapsed="false">
      <c r="B185" s="0" t="n">
        <f aca="false">D185*F185</f>
        <v>543.333333333333</v>
      </c>
      <c r="D185" s="268" t="n">
        <v>2</v>
      </c>
      <c r="E185" s="273" t="n">
        <f aca="false">(1-$F$271)*F185</f>
        <v>203.75</v>
      </c>
      <c r="F185" s="273" t="n">
        <f aca="false">($F$175+(D185-VINMAX)*$E$268/$E$269)/D185</f>
        <v>271.666666666667</v>
      </c>
      <c r="G185" s="273" t="n">
        <f aca="false">F185*(1+$F$271)</f>
        <v>339.583333333333</v>
      </c>
      <c r="I185" s="268" t="n">
        <v>2</v>
      </c>
      <c r="J185" s="273" t="n">
        <f aca="false">IF(E185&gt;$F$170,$F$170,E185)</f>
        <v>78</v>
      </c>
      <c r="K185" s="273" t="n">
        <f aca="false">IF(F185&gt;$F$171,$F$171,F185)</f>
        <v>86.6666666666667</v>
      </c>
      <c r="L185" s="273" t="n">
        <f aca="false">IF(G185&gt;$F$172,$F$172,G185)</f>
        <v>95.3333333333333</v>
      </c>
      <c r="R185" s="268" t="n">
        <v>2</v>
      </c>
      <c r="S185" s="273" t="n">
        <f aca="false">IF($R185&gt;$F$168,0.0000000005,J185)</f>
        <v>78</v>
      </c>
      <c r="T185" s="273" t="n">
        <f aca="false">IF($R185&gt;$F$168,0.0000000005,K185)</f>
        <v>86.6666666666667</v>
      </c>
      <c r="U185" s="273" t="n">
        <f aca="false">IF($R185&gt;$F$168,0.0000000005,L185)</f>
        <v>95.3333333333333</v>
      </c>
      <c r="V185" s="273" t="n">
        <f aca="false">$X$184/R185</f>
        <v>728.506481614884</v>
      </c>
    </row>
    <row r="186" customFormat="false" ht="13.2" hidden="false" customHeight="false" outlineLevel="0" collapsed="false">
      <c r="B186" s="0" t="n">
        <f aca="false">D186*F186</f>
        <v>546.666666666667</v>
      </c>
      <c r="D186" s="268" t="n">
        <v>3</v>
      </c>
      <c r="E186" s="273" t="n">
        <f aca="false">(1-$F$271)*F186</f>
        <v>136.666666666667</v>
      </c>
      <c r="F186" s="273" t="n">
        <f aca="false">($F$175+(D186-VINMAX)*$E$268/$E$269)/D186</f>
        <v>182.222222222222</v>
      </c>
      <c r="G186" s="273" t="n">
        <f aca="false">F186*(1+$F$271)</f>
        <v>227.777777777778</v>
      </c>
      <c r="I186" s="268" t="n">
        <v>3</v>
      </c>
      <c r="J186" s="273" t="n">
        <f aca="false">IF(E186&gt;$F$170,$F$170,E186)</f>
        <v>78</v>
      </c>
      <c r="K186" s="273" t="n">
        <f aca="false">IF(F186&gt;$F$171,$F$171,F186)</f>
        <v>86.6666666666667</v>
      </c>
      <c r="L186" s="273" t="n">
        <f aca="false">IF(G186&gt;$F$172,$F$172,G186)</f>
        <v>95.3333333333333</v>
      </c>
      <c r="O186" s="274" t="s">
        <v>393</v>
      </c>
      <c r="R186" s="268" t="n">
        <v>3</v>
      </c>
      <c r="S186" s="273" t="n">
        <f aca="false">IF($R186&gt;$F$168,0.0000000005,J186)</f>
        <v>78</v>
      </c>
      <c r="T186" s="273" t="n">
        <f aca="false">IF($R186&gt;$F$168,0.0000000005,K186)</f>
        <v>86.6666666666667</v>
      </c>
      <c r="U186" s="273" t="n">
        <f aca="false">IF($R186&gt;$F$168,0.0000000005,L186)</f>
        <v>95.3333333333333</v>
      </c>
      <c r="V186" s="273" t="n">
        <f aca="false">$X$184/R186</f>
        <v>485.670987743256</v>
      </c>
    </row>
    <row r="187" customFormat="false" ht="13.2" hidden="false" customHeight="false" outlineLevel="0" collapsed="false">
      <c r="B187" s="0" t="n">
        <f aca="false">D187*F187</f>
        <v>550</v>
      </c>
      <c r="D187" s="268" t="n">
        <v>4</v>
      </c>
      <c r="E187" s="273" t="n">
        <f aca="false">(1-$F$271)*F187</f>
        <v>103.125</v>
      </c>
      <c r="F187" s="273" t="n">
        <f aca="false">($F$175+(D187-VINMAX)*$E$268/$E$269)/D187</f>
        <v>137.5</v>
      </c>
      <c r="G187" s="273" t="n">
        <f aca="false">F187*(1+$F$271)</f>
        <v>171.875</v>
      </c>
      <c r="I187" s="268" t="n">
        <v>4</v>
      </c>
      <c r="J187" s="273" t="n">
        <f aca="false">IF(E187&gt;$F$170,$F$170,E187)</f>
        <v>78</v>
      </c>
      <c r="K187" s="273" t="n">
        <f aca="false">IF(F187&gt;$F$171,$F$171,F187)</f>
        <v>86.6666666666667</v>
      </c>
      <c r="L187" s="273" t="n">
        <f aca="false">IF(G187&gt;$F$172,$F$172,G187)</f>
        <v>95.3333333333333</v>
      </c>
      <c r="N187" s="275" t="s">
        <v>234</v>
      </c>
      <c r="O187" s="276" t="s">
        <v>394</v>
      </c>
      <c r="R187" s="268" t="n">
        <v>4</v>
      </c>
      <c r="S187" s="273" t="n">
        <f aca="false">IF($R187&gt;$F$168,0.0000000005,J187)</f>
        <v>78</v>
      </c>
      <c r="T187" s="273" t="n">
        <f aca="false">IF($R187&gt;$F$168,0.0000000005,K187)</f>
        <v>86.6666666666667</v>
      </c>
      <c r="U187" s="273" t="n">
        <f aca="false">IF($R187&gt;$F$168,0.0000000005,L187)</f>
        <v>95.3333333333333</v>
      </c>
      <c r="V187" s="273" t="n">
        <f aca="false">$X$184/R187</f>
        <v>364.253240807442</v>
      </c>
    </row>
    <row r="188" customFormat="false" ht="12.8" hidden="false" customHeight="false" outlineLevel="0" collapsed="false">
      <c r="B188" s="0" t="n">
        <f aca="false">D188*F188</f>
        <v>553.333333333333</v>
      </c>
      <c r="D188" s="268" t="n">
        <v>5</v>
      </c>
      <c r="E188" s="273" t="n">
        <f aca="false">(1-$F$271)*F188</f>
        <v>83</v>
      </c>
      <c r="F188" s="273" t="n">
        <f aca="false">($F$175+(D188-VINMAX)*$E$268/$E$269)/D188</f>
        <v>110.666666666667</v>
      </c>
      <c r="G188" s="273" t="n">
        <f aca="false">F188*(1+$F$271)</f>
        <v>138.333333333333</v>
      </c>
      <c r="I188" s="268" t="n">
        <v>5</v>
      </c>
      <c r="J188" s="273" t="n">
        <f aca="false">IF(E188&gt;$F$170,$F$170,E188)</f>
        <v>78</v>
      </c>
      <c r="K188" s="273" t="n">
        <f aca="false">IF(F188&gt;$F$171,$F$171,F188)</f>
        <v>86.6666666666667</v>
      </c>
      <c r="L188" s="273" t="n">
        <f aca="false">IF(G188&gt;$F$172,$F$172,G188)</f>
        <v>95.3333333333333</v>
      </c>
      <c r="N188" s="268" t="n">
        <v>1</v>
      </c>
      <c r="O188" s="268" t="n">
        <v>80</v>
      </c>
      <c r="P188" s="0" t="s">
        <v>395</v>
      </c>
      <c r="R188" s="268" t="n">
        <v>5</v>
      </c>
      <c r="S188" s="273" t="n">
        <f aca="false">IF($R188&gt;$F$168,0.0000000005,J188)</f>
        <v>78</v>
      </c>
      <c r="T188" s="273" t="n">
        <f aca="false">IF($R188&gt;$F$168,0.0000000005,K188)</f>
        <v>86.6666666666667</v>
      </c>
      <c r="U188" s="273" t="n">
        <f aca="false">IF($R188&gt;$F$168,0.0000000005,L188)</f>
        <v>95.3333333333333</v>
      </c>
      <c r="V188" s="273" t="n">
        <f aca="false">$X$184/R188</f>
        <v>291.402592645954</v>
      </c>
    </row>
    <row r="189" customFormat="false" ht="13.2" hidden="false" customHeight="false" outlineLevel="0" collapsed="false">
      <c r="B189" s="0" t="n">
        <f aca="false">D189*F189</f>
        <v>556.666666666667</v>
      </c>
      <c r="D189" s="268" t="n">
        <v>6</v>
      </c>
      <c r="E189" s="273" t="n">
        <f aca="false">(1-$F$271)*F189</f>
        <v>69.5833333333333</v>
      </c>
      <c r="F189" s="273" t="n">
        <f aca="false">($F$175+(D189-VINMAX)*$E$268/$E$269)/D189</f>
        <v>92.7777777777778</v>
      </c>
      <c r="G189" s="273" t="n">
        <f aca="false">F189*(1+$F$271)</f>
        <v>115.972222222222</v>
      </c>
      <c r="I189" s="268" t="n">
        <v>6</v>
      </c>
      <c r="J189" s="273" t="n">
        <f aca="false">IF(E189&gt;$F$170,$F$170,E189)</f>
        <v>69.5833333333333</v>
      </c>
      <c r="K189" s="273" t="n">
        <f aca="false">IF(F189&gt;$F$171,$F$171,F189)</f>
        <v>86.6666666666667</v>
      </c>
      <c r="L189" s="273" t="n">
        <f aca="false">IF(G189&gt;$F$172,$F$172,G189)</f>
        <v>95.3333333333333</v>
      </c>
      <c r="N189" s="268" t="n">
        <v>2</v>
      </c>
      <c r="O189" s="273" t="n">
        <f aca="false">O192+((O188-O192)*3/7)</f>
        <v>48.5714285714286</v>
      </c>
      <c r="R189" s="268" t="n">
        <v>6</v>
      </c>
      <c r="S189" s="273" t="n">
        <f aca="false">IF($R189&gt;$F$168,0.0000000005,J189)</f>
        <v>69.5833333333333</v>
      </c>
      <c r="T189" s="273" t="n">
        <f aca="false">IF($R189&gt;$F$168,0.0000000005,K189)</f>
        <v>86.6666666666667</v>
      </c>
      <c r="U189" s="273" t="n">
        <f aca="false">IF($R189&gt;$F$168,0.0000000005,L189)</f>
        <v>95.3333333333333</v>
      </c>
      <c r="V189" s="273" t="n">
        <f aca="false">$X$184/R189</f>
        <v>242.835493871628</v>
      </c>
    </row>
    <row r="190" customFormat="false" ht="13.2" hidden="false" customHeight="false" outlineLevel="0" collapsed="false">
      <c r="B190" s="0" t="n">
        <f aca="false">D190*F190</f>
        <v>560</v>
      </c>
      <c r="D190" s="268" t="n">
        <v>7</v>
      </c>
      <c r="E190" s="273" t="n">
        <f aca="false">(1-$F$271)*F190</f>
        <v>60</v>
      </c>
      <c r="F190" s="273" t="n">
        <f aca="false">($F$175+(D190-VINMAX)*$E$268/$E$269)/D190</f>
        <v>80</v>
      </c>
      <c r="G190" s="273" t="n">
        <f aca="false">F190*(1+$F$271)</f>
        <v>100</v>
      </c>
      <c r="I190" s="268" t="n">
        <v>7</v>
      </c>
      <c r="J190" s="273" t="n">
        <f aca="false">IF(E190&gt;$F$170,$F$170,E190)</f>
        <v>60</v>
      </c>
      <c r="K190" s="273" t="n">
        <f aca="false">IF(F190&gt;$F$171,$F$171,F190)</f>
        <v>80</v>
      </c>
      <c r="L190" s="273" t="n">
        <f aca="false">IF(G190&gt;$F$172,$F$172,G190)</f>
        <v>95.3333333333333</v>
      </c>
      <c r="N190" s="268" t="n">
        <v>3</v>
      </c>
      <c r="O190" s="273" t="n">
        <f aca="false">O192+((O188-O192)*2/8)</f>
        <v>38.75</v>
      </c>
      <c r="R190" s="268" t="n">
        <v>7</v>
      </c>
      <c r="S190" s="273" t="n">
        <f aca="false">IF($R190&gt;$F$168,0.0000000005,J190)</f>
        <v>60</v>
      </c>
      <c r="T190" s="273" t="n">
        <f aca="false">IF($R190&gt;$F$168,0.0000000005,K190)</f>
        <v>80</v>
      </c>
      <c r="U190" s="273" t="n">
        <f aca="false">IF($R190&gt;$F$168,0.0000000005,L190)</f>
        <v>95.3333333333333</v>
      </c>
      <c r="V190" s="273" t="n">
        <f aca="false">$X$184/R190</f>
        <v>208.144709032824</v>
      </c>
    </row>
    <row r="191" customFormat="false" ht="13.2" hidden="false" customHeight="false" outlineLevel="0" collapsed="false">
      <c r="B191" s="0" t="n">
        <f aca="false">D191*F191</f>
        <v>563.333333333333</v>
      </c>
      <c r="D191" s="268" t="n">
        <v>8</v>
      </c>
      <c r="E191" s="273" t="n">
        <f aca="false">(1-$F$271)*F191</f>
        <v>52.8125</v>
      </c>
      <c r="F191" s="273" t="n">
        <f aca="false">($F$175+(D191-VINMAX)*$E$268/$E$269)/D191</f>
        <v>70.4166666666667</v>
      </c>
      <c r="G191" s="273" t="n">
        <f aca="false">F191*(1+$F$271)</f>
        <v>88.0208333333333</v>
      </c>
      <c r="I191" s="268" t="n">
        <v>8</v>
      </c>
      <c r="J191" s="273" t="n">
        <f aca="false">IF(E191&gt;$F$170,$F$170,E191)</f>
        <v>52.8125</v>
      </c>
      <c r="K191" s="273" t="n">
        <f aca="false">IF(F191&gt;$F$171,$F$171,F191)</f>
        <v>70.4166666666667</v>
      </c>
      <c r="L191" s="273" t="n">
        <f aca="false">IF(G191&gt;$F$172,$F$172,G191)</f>
        <v>88.0208333333333</v>
      </c>
      <c r="N191" s="268" t="n">
        <v>4</v>
      </c>
      <c r="O191" s="273" t="n">
        <f aca="false">O192+((O188-O192)*1/9)</f>
        <v>31.1111111111111</v>
      </c>
      <c r="R191" s="268" t="n">
        <v>8</v>
      </c>
      <c r="S191" s="273" t="n">
        <f aca="false">IF($R191&gt;$F$168,0.0000000005,J191)</f>
        <v>52.8125</v>
      </c>
      <c r="T191" s="273" t="n">
        <f aca="false">IF($R191&gt;$F$168,0.0000000005,K191)</f>
        <v>70.4166666666667</v>
      </c>
      <c r="U191" s="273" t="n">
        <f aca="false">IF($R191&gt;$F$168,0.0000000005,L191)</f>
        <v>88.0208333333333</v>
      </c>
      <c r="V191" s="273" t="n">
        <f aca="false">$X$184/R191</f>
        <v>182.126620403721</v>
      </c>
    </row>
    <row r="192" customFormat="false" ht="12.8" hidden="false" customHeight="false" outlineLevel="0" collapsed="false">
      <c r="B192" s="0" t="n">
        <f aca="false">D192*F192</f>
        <v>566.666666666667</v>
      </c>
      <c r="D192" s="268" t="n">
        <v>9</v>
      </c>
      <c r="E192" s="273" t="n">
        <f aca="false">(1-$F$271)*F192</f>
        <v>47.2222222222222</v>
      </c>
      <c r="F192" s="273" t="n">
        <f aca="false">($F$175+(D192-VINMAX)*$E$268/$E$269)/D192</f>
        <v>62.962962962963</v>
      </c>
      <c r="G192" s="273" t="n">
        <f aca="false">F192*(1+$F$271)</f>
        <v>78.7037037037037</v>
      </c>
      <c r="I192" s="268" t="n">
        <v>9</v>
      </c>
      <c r="J192" s="273" t="n">
        <f aca="false">IF(E192&gt;$F$170,$F$170,E192)</f>
        <v>47.2222222222222</v>
      </c>
      <c r="K192" s="273" t="n">
        <f aca="false">IF(F192&gt;$F$171,$F$171,F192)</f>
        <v>62.962962962963</v>
      </c>
      <c r="L192" s="273" t="n">
        <f aca="false">IF(G192&gt;$F$172,$F$172,G192)</f>
        <v>78.7037037037037</v>
      </c>
      <c r="N192" s="268" t="n">
        <v>5</v>
      </c>
      <c r="O192" s="273" t="n">
        <v>25</v>
      </c>
      <c r="P192" s="0" t="s">
        <v>396</v>
      </c>
      <c r="R192" s="268" t="n">
        <v>9</v>
      </c>
      <c r="S192" s="273" t="n">
        <f aca="false">IF($R192&gt;$F$168,0.0000000005,J192)</f>
        <v>47.2222222222222</v>
      </c>
      <c r="T192" s="273" t="n">
        <f aca="false">IF($R192&gt;$F$168,0.0000000005,K192)</f>
        <v>62.962962962963</v>
      </c>
      <c r="U192" s="273" t="n">
        <f aca="false">IF($R192&gt;$F$168,0.0000000005,L192)</f>
        <v>78.7037037037037</v>
      </c>
      <c r="V192" s="273" t="n">
        <f aca="false">$X$184/R192</f>
        <v>161.890329247752</v>
      </c>
    </row>
    <row r="193" customFormat="false" ht="13.2" hidden="false" customHeight="false" outlineLevel="0" collapsed="false">
      <c r="B193" s="0" t="n">
        <f aca="false">D193*F193</f>
        <v>570</v>
      </c>
      <c r="D193" s="268" t="n">
        <v>10</v>
      </c>
      <c r="E193" s="273" t="n">
        <f aca="false">(1-$F$271)*F193</f>
        <v>42.75</v>
      </c>
      <c r="F193" s="273" t="n">
        <f aca="false">($F$175+(D193-VINMAX)*$E$268/$E$269)/D193</f>
        <v>57</v>
      </c>
      <c r="G193" s="273" t="n">
        <f aca="false">F193*(1+$F$271)</f>
        <v>71.25</v>
      </c>
      <c r="I193" s="268" t="n">
        <v>10</v>
      </c>
      <c r="J193" s="273" t="n">
        <f aca="false">IF(E193&gt;$F$170,$F$170,E193)</f>
        <v>42.75</v>
      </c>
      <c r="K193" s="273" t="n">
        <f aca="false">IF(F193&gt;$F$171,$F$171,F193)</f>
        <v>57</v>
      </c>
      <c r="L193" s="273" t="n">
        <f aca="false">IF(G193&gt;$F$172,$F$172,G193)</f>
        <v>71.25</v>
      </c>
      <c r="N193" s="268" t="n">
        <v>6</v>
      </c>
      <c r="O193" s="273" t="n">
        <f aca="false">O$197+((O$192-O$197)*4/6)</f>
        <v>21.6666666666667</v>
      </c>
      <c r="R193" s="268" t="n">
        <v>10</v>
      </c>
      <c r="S193" s="273" t="n">
        <f aca="false">IF($R193&gt;$F$168,0.0000000005,J193)</f>
        <v>42.75</v>
      </c>
      <c r="T193" s="273" t="n">
        <f aca="false">IF($R193&gt;$F$168,0.0000000005,K193)</f>
        <v>57</v>
      </c>
      <c r="U193" s="273" t="n">
        <f aca="false">IF($R193&gt;$F$168,0.0000000005,L193)</f>
        <v>71.25</v>
      </c>
      <c r="V193" s="273" t="n">
        <f aca="false">$X$184/R193</f>
        <v>145.701296322977</v>
      </c>
    </row>
    <row r="194" customFormat="false" ht="13.2" hidden="false" customHeight="false" outlineLevel="0" collapsed="false">
      <c r="B194" s="0" t="n">
        <f aca="false">D194*F194</f>
        <v>573.333333333333</v>
      </c>
      <c r="D194" s="268" t="n">
        <v>11</v>
      </c>
      <c r="E194" s="273" t="n">
        <f aca="false">(1-$F$271)*F194</f>
        <v>39.0909090909091</v>
      </c>
      <c r="F194" s="273" t="n">
        <f aca="false">($F$175+(D194-VINMAX)*$E$268/$E$269)/D194</f>
        <v>52.1212121212121</v>
      </c>
      <c r="G194" s="273" t="n">
        <f aca="false">F194*(1+$F$271)</f>
        <v>65.1515151515151</v>
      </c>
      <c r="I194" s="268" t="n">
        <v>11</v>
      </c>
      <c r="J194" s="273" t="n">
        <f aca="false">IF(E194&gt;$F$170,$F$170,E194)</f>
        <v>39.0909090909091</v>
      </c>
      <c r="K194" s="273" t="n">
        <f aca="false">IF(F194&gt;$F$171,$F$171,F194)</f>
        <v>52.1212121212121</v>
      </c>
      <c r="L194" s="273" t="n">
        <f aca="false">IF(G194&gt;$F$172,$F$172,G194)</f>
        <v>65.1515151515151</v>
      </c>
      <c r="N194" s="268" t="n">
        <v>7</v>
      </c>
      <c r="O194" s="273" t="n">
        <f aca="false">O$197+((O$192-O$197)*3/7)</f>
        <v>19.2857142857143</v>
      </c>
      <c r="R194" s="268" t="n">
        <v>11</v>
      </c>
      <c r="S194" s="273" t="n">
        <f aca="false">IF($R194&gt;$F$168,0.0000000005,J194)</f>
        <v>39.0909090909091</v>
      </c>
      <c r="T194" s="273" t="n">
        <f aca="false">IF($R194&gt;$F$168,0.0000000005,K194)</f>
        <v>52.1212121212121</v>
      </c>
      <c r="U194" s="273" t="n">
        <f aca="false">IF($R194&gt;$F$168,0.0000000005,L194)</f>
        <v>65.1515151515151</v>
      </c>
      <c r="V194" s="273" t="n">
        <f aca="false">$X$184/R194</f>
        <v>132.455723929979</v>
      </c>
    </row>
    <row r="195" customFormat="false" ht="13.2" hidden="false" customHeight="false" outlineLevel="0" collapsed="false">
      <c r="B195" s="0" t="n">
        <f aca="false">D195*F195</f>
        <v>576.666666666667</v>
      </c>
      <c r="D195" s="268" t="n">
        <v>12</v>
      </c>
      <c r="E195" s="273" t="n">
        <f aca="false">(1-$F$271)*F195</f>
        <v>36.0416666666667</v>
      </c>
      <c r="F195" s="273" t="n">
        <f aca="false">($F$175+(D195-VINMAX)*$E$268/$E$269)/D195</f>
        <v>48.0555555555556</v>
      </c>
      <c r="G195" s="273" t="n">
        <f aca="false">F195*(1+$F$271)</f>
        <v>60.0694444444444</v>
      </c>
      <c r="I195" s="268" t="n">
        <v>12</v>
      </c>
      <c r="J195" s="273" t="n">
        <f aca="false">IF(E195&gt;$F$170,$F$170,E195)</f>
        <v>36.0416666666667</v>
      </c>
      <c r="K195" s="273" t="n">
        <f aca="false">IF(F195&gt;$F$171,$F$171,F195)</f>
        <v>48.0555555555556</v>
      </c>
      <c r="L195" s="273" t="n">
        <f aca="false">IF(G195&gt;$F$172,$F$172,G195)</f>
        <v>60.0694444444444</v>
      </c>
      <c r="N195" s="268" t="n">
        <v>8</v>
      </c>
      <c r="O195" s="273" t="n">
        <f aca="false">O$197+((O$192-O$197)*2/8)</f>
        <v>17.5</v>
      </c>
      <c r="R195" s="268" t="n">
        <v>12</v>
      </c>
      <c r="S195" s="273" t="n">
        <f aca="false">IF($R195&gt;$F$168,0.0000000005,J195)</f>
        <v>36.0416666666667</v>
      </c>
      <c r="T195" s="273" t="n">
        <f aca="false">IF($R195&gt;$F$168,0.0000000005,K195)</f>
        <v>48.0555555555556</v>
      </c>
      <c r="U195" s="273" t="n">
        <f aca="false">IF($R195&gt;$F$168,0.0000000005,L195)</f>
        <v>60.0694444444444</v>
      </c>
      <c r="V195" s="273" t="n">
        <f aca="false">$X$184/R195</f>
        <v>121.417746935814</v>
      </c>
    </row>
    <row r="196" customFormat="false" ht="13.2" hidden="false" customHeight="false" outlineLevel="0" collapsed="false">
      <c r="B196" s="0" t="n">
        <f aca="false">D196*F196</f>
        <v>580</v>
      </c>
      <c r="D196" s="268" t="n">
        <v>13</v>
      </c>
      <c r="E196" s="273" t="n">
        <f aca="false">(1-$F$271)*F196</f>
        <v>33.4615384615385</v>
      </c>
      <c r="F196" s="273" t="n">
        <f aca="false">($F$175+(D196-VINMAX)*$E$268/$E$269)/D196</f>
        <v>44.6153846153846</v>
      </c>
      <c r="G196" s="273" t="n">
        <f aca="false">F196*(1+$F$271)</f>
        <v>55.7692307692308</v>
      </c>
      <c r="I196" s="268" t="n">
        <v>13</v>
      </c>
      <c r="J196" s="273" t="n">
        <f aca="false">IF(E196&gt;$F$170,$F$170,E196)</f>
        <v>33.4615384615385</v>
      </c>
      <c r="K196" s="273" t="n">
        <f aca="false">IF(F196&gt;$F$171,$F$171,F196)</f>
        <v>44.6153846153846</v>
      </c>
      <c r="L196" s="273" t="n">
        <f aca="false">IF(G196&gt;$F$172,$F$172,G196)</f>
        <v>55.7692307692308</v>
      </c>
      <c r="N196" s="268" t="n">
        <v>9</v>
      </c>
      <c r="O196" s="273" t="n">
        <f aca="false">O$197+((O$192-O$197)*1/9)</f>
        <v>16.1111111111111</v>
      </c>
      <c r="R196" s="268" t="n">
        <v>13</v>
      </c>
      <c r="S196" s="273" t="n">
        <f aca="false">IF($R196&gt;$F$168,0.0000000005,J196)</f>
        <v>33.4615384615385</v>
      </c>
      <c r="T196" s="273" t="n">
        <f aca="false">IF($R196&gt;$F$168,0.0000000005,K196)</f>
        <v>44.6153846153846</v>
      </c>
      <c r="U196" s="273" t="n">
        <f aca="false">IF($R196&gt;$F$168,0.0000000005,L196)</f>
        <v>55.7692307692308</v>
      </c>
      <c r="V196" s="273" t="n">
        <f aca="false">$X$184/R196</f>
        <v>112.077920248444</v>
      </c>
    </row>
    <row r="197" customFormat="false" ht="13.2" hidden="false" customHeight="false" outlineLevel="0" collapsed="false">
      <c r="B197" s="0" t="n">
        <f aca="false">D197*F197</f>
        <v>583.333333333333</v>
      </c>
      <c r="D197" s="268" t="n">
        <v>14</v>
      </c>
      <c r="E197" s="273" t="n">
        <f aca="false">(1-$F$271)*F197</f>
        <v>31.25</v>
      </c>
      <c r="F197" s="273" t="n">
        <f aca="false">($F$175+(D197-VINMAX)*$E$268/$E$269)/D197</f>
        <v>41.6666666666667</v>
      </c>
      <c r="G197" s="273" t="n">
        <f aca="false">F197*(1+$F$271)</f>
        <v>52.0833333333333</v>
      </c>
      <c r="I197" s="268" t="n">
        <v>14</v>
      </c>
      <c r="J197" s="273" t="n">
        <f aca="false">IF(E197&gt;$F$170,$F$170,E197)</f>
        <v>31.25</v>
      </c>
      <c r="K197" s="273" t="n">
        <f aca="false">IF(F197&gt;$F$171,$F$171,F197)</f>
        <v>41.6666666666667</v>
      </c>
      <c r="L197" s="273" t="n">
        <f aca="false">IF(G197&gt;$F$172,$F$172,G197)</f>
        <v>52.0833333333333</v>
      </c>
      <c r="N197" s="268" t="n">
        <v>10</v>
      </c>
      <c r="O197" s="273" t="n">
        <v>15</v>
      </c>
      <c r="P197" s="0" t="s">
        <v>396</v>
      </c>
      <c r="R197" s="268" t="n">
        <v>14</v>
      </c>
      <c r="S197" s="273" t="n">
        <f aca="false">IF($R197&gt;$F$168,0.0000000005,J197)</f>
        <v>31.25</v>
      </c>
      <c r="T197" s="273" t="n">
        <f aca="false">IF($R197&gt;$F$168,0.0000000005,K197)</f>
        <v>41.6666666666667</v>
      </c>
      <c r="U197" s="273" t="n">
        <f aca="false">IF($R197&gt;$F$168,0.0000000005,L197)</f>
        <v>52.0833333333333</v>
      </c>
      <c r="V197" s="273" t="n">
        <f aca="false">$X$184/R197</f>
        <v>104.072354516412</v>
      </c>
    </row>
    <row r="198" customFormat="false" ht="13.2" hidden="false" customHeight="false" outlineLevel="0" collapsed="false">
      <c r="B198" s="0" t="n">
        <f aca="false">D198*F198</f>
        <v>586.666666666667</v>
      </c>
      <c r="D198" s="268" t="n">
        <v>15</v>
      </c>
      <c r="E198" s="273" t="n">
        <f aca="false">(1-$F$271)*F198</f>
        <v>29.3333333333333</v>
      </c>
      <c r="F198" s="273" t="n">
        <f aca="false">($F$175+(D198-VINMAX)*$E$268/$E$269)/D198</f>
        <v>39.1111111111111</v>
      </c>
      <c r="G198" s="273" t="n">
        <f aca="false">F198*(1+$F$271)</f>
        <v>48.8888888888889</v>
      </c>
      <c r="I198" s="268" t="n">
        <v>15</v>
      </c>
      <c r="J198" s="273" t="n">
        <f aca="false">IF(E198&gt;$F$170,$F$170,E198)</f>
        <v>29.3333333333333</v>
      </c>
      <c r="K198" s="273" t="n">
        <f aca="false">IF(F198&gt;$F$171,$F$171,F198)</f>
        <v>39.1111111111111</v>
      </c>
      <c r="L198" s="273" t="n">
        <f aca="false">IF(G198&gt;$F$172,$F$172,G198)</f>
        <v>48.8888888888889</v>
      </c>
      <c r="N198" s="268" t="n">
        <v>11</v>
      </c>
      <c r="O198" s="273" t="n">
        <f aca="false">O$202+((O$197-O$202)*4/6)</f>
        <v>13</v>
      </c>
      <c r="R198" s="268" t="n">
        <v>15</v>
      </c>
      <c r="S198" s="273" t="n">
        <f aca="false">IF($R198&gt;$F$168,0.0000000005,J198)</f>
        <v>29.3333333333333</v>
      </c>
      <c r="T198" s="273" t="n">
        <f aca="false">IF($R198&gt;$F$168,0.0000000005,K198)</f>
        <v>39.1111111111111</v>
      </c>
      <c r="U198" s="273" t="n">
        <f aca="false">IF($R198&gt;$F$168,0.0000000005,L198)</f>
        <v>48.8888888888889</v>
      </c>
      <c r="V198" s="273" t="n">
        <f aca="false">$X$184/R198</f>
        <v>97.1341975486512</v>
      </c>
    </row>
    <row r="199" customFormat="false" ht="13.2" hidden="false" customHeight="false" outlineLevel="0" collapsed="false">
      <c r="B199" s="0" t="n">
        <f aca="false">D199*F199</f>
        <v>590</v>
      </c>
      <c r="D199" s="268" t="n">
        <v>16</v>
      </c>
      <c r="E199" s="273" t="n">
        <f aca="false">(1-$F$271)*F199</f>
        <v>27.65625</v>
      </c>
      <c r="F199" s="273" t="n">
        <f aca="false">($F$175+(D199-VINMAX)*$E$268/$E$269)/D199</f>
        <v>36.875</v>
      </c>
      <c r="G199" s="273" t="n">
        <f aca="false">F199*(1+$F$271)</f>
        <v>46.09375</v>
      </c>
      <c r="I199" s="268" t="n">
        <v>16</v>
      </c>
      <c r="J199" s="273" t="n">
        <f aca="false">IF(E199&gt;$F$170,$F$170,E199)</f>
        <v>27.65625</v>
      </c>
      <c r="K199" s="273" t="n">
        <f aca="false">IF(F199&gt;$F$171,$F$171,F199)</f>
        <v>36.875</v>
      </c>
      <c r="L199" s="273" t="n">
        <f aca="false">IF(G199&gt;$F$172,$F$172,G199)</f>
        <v>46.09375</v>
      </c>
      <c r="N199" s="268" t="n">
        <v>12</v>
      </c>
      <c r="O199" s="273" t="n">
        <f aca="false">O$202+((O$197-O$202)*3/7)</f>
        <v>11.5714285714286</v>
      </c>
      <c r="R199" s="268" t="n">
        <v>16</v>
      </c>
      <c r="S199" s="273" t="n">
        <f aca="false">IF($R199&gt;$F$168,0.0000000005,J199)</f>
        <v>27.65625</v>
      </c>
      <c r="T199" s="273" t="n">
        <f aca="false">IF($R199&gt;$F$168,0.0000000005,K199)</f>
        <v>36.875</v>
      </c>
      <c r="U199" s="273" t="n">
        <f aca="false">IF($R199&gt;$F$168,0.0000000005,L199)</f>
        <v>46.09375</v>
      </c>
      <c r="V199" s="273" t="n">
        <f aca="false">$X$184/R199</f>
        <v>91.0633102018605</v>
      </c>
    </row>
    <row r="200" customFormat="false" ht="13.2" hidden="false" customHeight="false" outlineLevel="0" collapsed="false">
      <c r="B200" s="0" t="n">
        <f aca="false">D200*F200</f>
        <v>593.333333333333</v>
      </c>
      <c r="D200" s="268" t="n">
        <v>17</v>
      </c>
      <c r="E200" s="273" t="n">
        <f aca="false">(1-$F$271)*F200</f>
        <v>26.1764705882353</v>
      </c>
      <c r="F200" s="273" t="n">
        <f aca="false">($F$175+(D200-VINMAX)*$E$268/$E$269)/D200</f>
        <v>34.9019607843137</v>
      </c>
      <c r="G200" s="273" t="n">
        <f aca="false">F200*(1+$F$271)</f>
        <v>43.6274509803922</v>
      </c>
      <c r="I200" s="268" t="n">
        <v>17</v>
      </c>
      <c r="J200" s="273" t="n">
        <f aca="false">IF(E200&gt;$F$170,$F$170,E200)</f>
        <v>26.1764705882353</v>
      </c>
      <c r="K200" s="273" t="n">
        <f aca="false">IF(F200&gt;$F$171,$F$171,F200)</f>
        <v>34.9019607843137</v>
      </c>
      <c r="L200" s="273" t="n">
        <f aca="false">IF(G200&gt;$F$172,$F$172,G200)</f>
        <v>43.6274509803922</v>
      </c>
      <c r="N200" s="268" t="n">
        <v>13</v>
      </c>
      <c r="O200" s="273" t="n">
        <f aca="false">O$202+((O$197-O$202)*2/8)</f>
        <v>10.5</v>
      </c>
      <c r="R200" s="268" t="n">
        <v>17</v>
      </c>
      <c r="S200" s="273" t="n">
        <f aca="false">IF($R200&gt;$F$168,0.0000000005,J200)</f>
        <v>26.1764705882353</v>
      </c>
      <c r="T200" s="273" t="n">
        <f aca="false">IF($R200&gt;$F$168,0.0000000005,K200)</f>
        <v>34.9019607843137</v>
      </c>
      <c r="U200" s="273" t="n">
        <f aca="false">IF($R200&gt;$F$168,0.0000000005,L200)</f>
        <v>43.6274509803922</v>
      </c>
      <c r="V200" s="273" t="n">
        <f aca="false">$X$184/R200</f>
        <v>85.7066448958687</v>
      </c>
    </row>
    <row r="201" customFormat="false" ht="13.2" hidden="false" customHeight="false" outlineLevel="0" collapsed="false">
      <c r="B201" s="0" t="n">
        <f aca="false">D201*F201</f>
        <v>596.666666666667</v>
      </c>
      <c r="D201" s="268" t="n">
        <v>18</v>
      </c>
      <c r="E201" s="273" t="n">
        <f aca="false">(1-$F$271)*F201</f>
        <v>24.8611111111111</v>
      </c>
      <c r="F201" s="273" t="n">
        <f aca="false">($F$175+(D201-VINMAX)*$E$268/$E$269)/D201</f>
        <v>33.1481481481481</v>
      </c>
      <c r="G201" s="273" t="n">
        <f aca="false">F201*(1+$F$271)</f>
        <v>41.4351851851852</v>
      </c>
      <c r="I201" s="268" t="n">
        <v>18</v>
      </c>
      <c r="J201" s="273" t="n">
        <f aca="false">IF(E201&gt;$F$170,$F$170,E201)</f>
        <v>24.8611111111111</v>
      </c>
      <c r="K201" s="273" t="n">
        <f aca="false">IF(F201&gt;$F$171,$F$171,F201)</f>
        <v>33.1481481481481</v>
      </c>
      <c r="L201" s="273" t="n">
        <f aca="false">IF(G201&gt;$F$172,$F$172,G201)</f>
        <v>41.4351851851852</v>
      </c>
      <c r="N201" s="268" t="n">
        <v>14</v>
      </c>
      <c r="O201" s="273" t="n">
        <f aca="false">O$202+((O$197-O$202)*1/9)</f>
        <v>9.66666666666667</v>
      </c>
      <c r="R201" s="270" t="n">
        <v>18</v>
      </c>
      <c r="S201" s="273" t="n">
        <f aca="false">IF($R201&gt;$F$168,0.0000000005,J201)</f>
        <v>24.8611111111111</v>
      </c>
      <c r="T201" s="273" t="n">
        <f aca="false">IF($R201&gt;$F$168,0.0000000005,K201)</f>
        <v>33.1481481481481</v>
      </c>
      <c r="U201" s="273" t="n">
        <f aca="false">IF($R201&gt;$F$168,0.0000000005,L201)</f>
        <v>41.4351851851852</v>
      </c>
      <c r="V201" s="273" t="n">
        <f aca="false">$X$184/R201</f>
        <v>80.945164623876</v>
      </c>
    </row>
    <row r="202" customFormat="false" ht="13.2" hidden="false" customHeight="false" outlineLevel="0" collapsed="false">
      <c r="B202" s="0" t="n">
        <f aca="false">D202*F202</f>
        <v>600</v>
      </c>
      <c r="D202" s="268" t="n">
        <v>19</v>
      </c>
      <c r="E202" s="273" t="n">
        <f aca="false">(1-$F$271)*F202</f>
        <v>23.6842105263158</v>
      </c>
      <c r="F202" s="273" t="n">
        <f aca="false">($F$175+(D202-VINMAX)*$E$268/$E$269)/D202</f>
        <v>31.578947368421</v>
      </c>
      <c r="G202" s="273" t="n">
        <f aca="false">F202*(1+$F$271)</f>
        <v>39.4736842105263</v>
      </c>
      <c r="I202" s="268" t="n">
        <v>19</v>
      </c>
      <c r="J202" s="273" t="n">
        <f aca="false">IF(E202&gt;$F$170,$F$170,E202)</f>
        <v>23.6842105263158</v>
      </c>
      <c r="K202" s="273" t="n">
        <f aca="false">IF(F202&gt;$F$171,$F$171,F202)</f>
        <v>31.578947368421</v>
      </c>
      <c r="L202" s="273" t="n">
        <f aca="false">IF(G202&gt;$F$172,$F$172,G202)</f>
        <v>39.4736842105263</v>
      </c>
      <c r="N202" s="268" t="n">
        <v>15</v>
      </c>
      <c r="O202" s="273" t="n">
        <v>9</v>
      </c>
      <c r="P202" s="0" t="s">
        <v>396</v>
      </c>
      <c r="R202" s="270" t="n">
        <v>19</v>
      </c>
      <c r="S202" s="273" t="n">
        <f aca="false">IF($R202&gt;$F$168,0.0000000005,J202)</f>
        <v>23.6842105263158</v>
      </c>
      <c r="T202" s="273" t="n">
        <f aca="false">IF($R202&gt;$F$168,0.0000000005,K202)</f>
        <v>31.578947368421</v>
      </c>
      <c r="U202" s="273" t="n">
        <f aca="false">IF($R202&gt;$F$168,0.0000000005,L202)</f>
        <v>39.4736842105263</v>
      </c>
      <c r="V202" s="273" t="n">
        <f aca="false">$X$184/R202</f>
        <v>76.6848928015668</v>
      </c>
    </row>
    <row r="203" customFormat="false" ht="13.2" hidden="false" customHeight="false" outlineLevel="0" collapsed="false">
      <c r="B203" s="0" t="n">
        <f aca="false">D203*F203</f>
        <v>603.333333333333</v>
      </c>
      <c r="D203" s="268" t="n">
        <v>20</v>
      </c>
      <c r="E203" s="273" t="n">
        <f aca="false">(1-$F$271)*F203</f>
        <v>22.625</v>
      </c>
      <c r="F203" s="273" t="n">
        <f aca="false">($F$175+(D203-VINMAX)*$E$268/$E$269)/D203</f>
        <v>30.1666666666667</v>
      </c>
      <c r="G203" s="273" t="n">
        <f aca="false">F203*(1+$F$271)</f>
        <v>37.7083333333333</v>
      </c>
      <c r="I203" s="268" t="n">
        <v>20</v>
      </c>
      <c r="J203" s="273" t="n">
        <f aca="false">IF(E203&gt;$F$170,$F$170,E203)</f>
        <v>22.625</v>
      </c>
      <c r="K203" s="273" t="n">
        <f aca="false">IF(F203&gt;$F$171,$F$171,F203)</f>
        <v>30.1666666666667</v>
      </c>
      <c r="L203" s="273" t="n">
        <f aca="false">IF(G203&gt;$F$172,$F$172,G203)</f>
        <v>37.7083333333333</v>
      </c>
      <c r="N203" s="268" t="n">
        <v>16</v>
      </c>
      <c r="O203" s="273" t="n">
        <f aca="false">O$207+((O$202-O$207)*4/6)</f>
        <v>7.66666666666667</v>
      </c>
      <c r="R203" s="270" t="n">
        <v>20</v>
      </c>
      <c r="S203" s="273" t="n">
        <f aca="false">IF($R203&gt;$F$168,0.0000000005,J203)</f>
        <v>22.625</v>
      </c>
      <c r="T203" s="273" t="n">
        <f aca="false">IF($R203&gt;$F$168,0.0000000005,K203)</f>
        <v>30.1666666666667</v>
      </c>
      <c r="U203" s="273" t="n">
        <f aca="false">IF($R203&gt;$F$168,0.0000000005,L203)</f>
        <v>37.7083333333333</v>
      </c>
      <c r="V203" s="273" t="n">
        <f aca="false">$X$184/R203</f>
        <v>72.8506481614884</v>
      </c>
    </row>
    <row r="204" customFormat="false" ht="13.2" hidden="false" customHeight="false" outlineLevel="0" collapsed="false">
      <c r="B204" s="0" t="n">
        <f aca="false">D204*F204</f>
        <v>606.666666666667</v>
      </c>
      <c r="D204" s="268" t="n">
        <v>21</v>
      </c>
      <c r="E204" s="273" t="n">
        <f aca="false">(1-$F$271)*F204</f>
        <v>21.6666666666667</v>
      </c>
      <c r="F204" s="273" t="n">
        <f aca="false">($F$175+(D204-VINMAX)*$E$268/$E$269)/D204</f>
        <v>28.8888888888889</v>
      </c>
      <c r="G204" s="273" t="n">
        <f aca="false">F204*(1+$F$271)</f>
        <v>36.1111111111111</v>
      </c>
      <c r="I204" s="268" t="n">
        <v>21</v>
      </c>
      <c r="J204" s="273" t="n">
        <f aca="false">IF(E204&gt;$F$170,$F$170,E204)</f>
        <v>21.6666666666667</v>
      </c>
      <c r="K204" s="273" t="n">
        <f aca="false">IF(F204&gt;$F$171,$F$171,F204)</f>
        <v>28.8888888888889</v>
      </c>
      <c r="L204" s="273" t="n">
        <f aca="false">IF(G204&gt;$F$172,$F$172,G204)</f>
        <v>36.1111111111111</v>
      </c>
      <c r="N204" s="268" t="n">
        <v>17</v>
      </c>
      <c r="O204" s="273" t="n">
        <f aca="false">O$207+((O$202-O$207)*3/7)</f>
        <v>6.71428571428571</v>
      </c>
      <c r="R204" s="268" t="n">
        <v>21</v>
      </c>
      <c r="S204" s="273" t="n">
        <f aca="false">IF($R204&gt;$F$168,0.0000000005,J204)</f>
        <v>21.6666666666667</v>
      </c>
      <c r="T204" s="273" t="n">
        <f aca="false">IF($R204&gt;$F$168,0.0000000005,K204)</f>
        <v>28.8888888888889</v>
      </c>
      <c r="U204" s="273" t="n">
        <f aca="false">IF($R204&gt;$F$168,0.0000000005,L204)</f>
        <v>36.1111111111111</v>
      </c>
      <c r="V204" s="273" t="n">
        <f aca="false">$X$184/R204</f>
        <v>69.381569677608</v>
      </c>
    </row>
    <row r="205" customFormat="false" ht="13.2" hidden="false" customHeight="false" outlineLevel="0" collapsed="false">
      <c r="B205" s="0" t="n">
        <f aca="false">D205*F205</f>
        <v>610</v>
      </c>
      <c r="D205" s="268" t="n">
        <v>22</v>
      </c>
      <c r="E205" s="273" t="n">
        <f aca="false">(1-$F$271)*F205</f>
        <v>20.7954545454545</v>
      </c>
      <c r="F205" s="273" t="n">
        <f aca="false">($F$175+(D205-VINMAX)*$E$268/$E$269)/D205</f>
        <v>27.7272727272727</v>
      </c>
      <c r="G205" s="273" t="n">
        <f aca="false">F205*(1+$F$271)</f>
        <v>34.6590909090909</v>
      </c>
      <c r="I205" s="268" t="n">
        <v>22</v>
      </c>
      <c r="J205" s="273" t="n">
        <f aca="false">IF(E205&gt;$F$170,$F$170,E205)</f>
        <v>20.7954545454545</v>
      </c>
      <c r="K205" s="273" t="n">
        <f aca="false">IF(F205&gt;$F$171,$F$171,F205)</f>
        <v>27.7272727272727</v>
      </c>
      <c r="L205" s="273" t="n">
        <f aca="false">IF(G205&gt;$F$172,$F$172,G205)</f>
        <v>34.6590909090909</v>
      </c>
      <c r="N205" s="270" t="n">
        <v>18</v>
      </c>
      <c r="O205" s="273" t="n">
        <f aca="false">O$207+((O$202-O$207)*2/8)</f>
        <v>6</v>
      </c>
      <c r="R205" s="268" t="n">
        <v>22</v>
      </c>
      <c r="S205" s="273" t="n">
        <f aca="false">IF($R205&gt;$F$168,0.0000000005,J205)</f>
        <v>20.7954545454545</v>
      </c>
      <c r="T205" s="273" t="n">
        <f aca="false">IF($R205&gt;$F$168,0.0000000005,K205)</f>
        <v>27.7272727272727</v>
      </c>
      <c r="U205" s="273" t="n">
        <f aca="false">IF($R205&gt;$F$168,0.0000000005,L205)</f>
        <v>34.6590909090909</v>
      </c>
      <c r="V205" s="273" t="n">
        <f aca="false">$X$184/R205</f>
        <v>66.2278619649895</v>
      </c>
    </row>
    <row r="206" customFormat="false" ht="13.2" hidden="false" customHeight="false" outlineLevel="0" collapsed="false">
      <c r="B206" s="0" t="n">
        <f aca="false">D206*F206</f>
        <v>613.333333333333</v>
      </c>
      <c r="D206" s="268" t="n">
        <v>23</v>
      </c>
      <c r="E206" s="273" t="n">
        <f aca="false">(1-$F$271)*F206</f>
        <v>20</v>
      </c>
      <c r="F206" s="273" t="n">
        <f aca="false">($F$175+(D206-VINMAX)*$E$268/$E$269)/D206</f>
        <v>26.6666666666667</v>
      </c>
      <c r="G206" s="273" t="n">
        <f aca="false">F206*(1+$F$271)</f>
        <v>33.3333333333333</v>
      </c>
      <c r="I206" s="268" t="n">
        <v>23</v>
      </c>
      <c r="J206" s="273" t="n">
        <f aca="false">IF(E206&gt;$F$170,$F$170,E206)</f>
        <v>20</v>
      </c>
      <c r="K206" s="273" t="n">
        <f aca="false">IF(F206&gt;$F$171,$F$171,F206)</f>
        <v>26.6666666666667</v>
      </c>
      <c r="L206" s="273" t="n">
        <f aca="false">IF(G206&gt;$F$172,$F$172,G206)</f>
        <v>33.3333333333333</v>
      </c>
      <c r="N206" s="270" t="n">
        <v>19</v>
      </c>
      <c r="O206" s="273" t="n">
        <f aca="false">O$207+((O$202-O$207)*1/9)</f>
        <v>5.44444444444444</v>
      </c>
      <c r="R206" s="268" t="n">
        <v>23</v>
      </c>
      <c r="S206" s="273" t="n">
        <f aca="false">IF($R206&gt;$F$168,0.0000000005,J206)</f>
        <v>20</v>
      </c>
      <c r="T206" s="273" t="n">
        <f aca="false">IF($R206&gt;$F$168,0.0000000005,K206)</f>
        <v>26.6666666666667</v>
      </c>
      <c r="U206" s="273" t="n">
        <f aca="false">IF($R206&gt;$F$168,0.0000000005,L206)</f>
        <v>33.3333333333333</v>
      </c>
      <c r="V206" s="273" t="n">
        <f aca="false">$X$184/R206</f>
        <v>63.3483897056421</v>
      </c>
    </row>
    <row r="207" customFormat="false" ht="13.2" hidden="false" customHeight="false" outlineLevel="0" collapsed="false">
      <c r="B207" s="0" t="n">
        <f aca="false">D207*F207</f>
        <v>616.666666666667</v>
      </c>
      <c r="D207" s="268" t="n">
        <v>24</v>
      </c>
      <c r="E207" s="273" t="n">
        <f aca="false">(1-$F$271)*F207</f>
        <v>19.2708333333333</v>
      </c>
      <c r="F207" s="273" t="n">
        <f aca="false">($F$175+(D207-VINMAX)*$E$268/$E$269)/D207</f>
        <v>25.6944444444444</v>
      </c>
      <c r="G207" s="273" t="n">
        <f aca="false">F207*(1+$F$271)</f>
        <v>32.1180555555556</v>
      </c>
      <c r="I207" s="268" t="n">
        <v>24</v>
      </c>
      <c r="J207" s="273" t="n">
        <f aca="false">IF(E207&gt;$F$170,$F$170,E207)</f>
        <v>19.2708333333333</v>
      </c>
      <c r="K207" s="273" t="n">
        <f aca="false">IF(F207&gt;$F$171,$F$171,F207)</f>
        <v>25.6944444444444</v>
      </c>
      <c r="L207" s="273" t="n">
        <f aca="false">IF(G207&gt;$F$172,$F$172,G207)</f>
        <v>32.1180555555556</v>
      </c>
      <c r="N207" s="270" t="n">
        <v>20</v>
      </c>
      <c r="O207" s="273" t="n">
        <v>5</v>
      </c>
      <c r="P207" s="0" t="s">
        <v>396</v>
      </c>
      <c r="R207" s="268" t="n">
        <v>24</v>
      </c>
      <c r="S207" s="273" t="n">
        <f aca="false">IF($R207&gt;$F$168,0.0000000005,J207)</f>
        <v>19.2708333333333</v>
      </c>
      <c r="T207" s="273" t="n">
        <f aca="false">IF($R207&gt;$F$168,0.0000000005,K207)</f>
        <v>25.6944444444444</v>
      </c>
      <c r="U207" s="273" t="n">
        <f aca="false">IF($R207&gt;$F$168,0.0000000005,L207)</f>
        <v>32.1180555555556</v>
      </c>
      <c r="V207" s="273" t="n">
        <f aca="false">$X$184/R207</f>
        <v>60.708873467907</v>
      </c>
    </row>
    <row r="208" customFormat="false" ht="13.2" hidden="false" customHeight="false" outlineLevel="0" collapsed="false">
      <c r="B208" s="0" t="n">
        <f aca="false">D208*F208</f>
        <v>620</v>
      </c>
      <c r="D208" s="268" t="n">
        <v>25</v>
      </c>
      <c r="E208" s="273" t="n">
        <f aca="false">(1-$F$271)*F208</f>
        <v>18.6</v>
      </c>
      <c r="F208" s="273" t="n">
        <f aca="false">($F$175+(D208-VINMAX)*$E$268/$E$269)/D208</f>
        <v>24.8</v>
      </c>
      <c r="G208" s="273" t="n">
        <f aca="false">F208*(1+$F$271)</f>
        <v>31</v>
      </c>
      <c r="I208" s="268" t="n">
        <v>25</v>
      </c>
      <c r="J208" s="273" t="n">
        <f aca="false">IF(E208&gt;$F$170,$F$170,E208)</f>
        <v>18.6</v>
      </c>
      <c r="K208" s="273" t="n">
        <f aca="false">IF(F208&gt;$F$171,$F$171,F208)</f>
        <v>24.8</v>
      </c>
      <c r="L208" s="273" t="n">
        <f aca="false">IF(G208&gt;$F$172,$F$172,G208)</f>
        <v>31</v>
      </c>
      <c r="R208" s="268" t="n">
        <v>25</v>
      </c>
      <c r="S208" s="273" t="n">
        <f aca="false">IF($R208&gt;$F$168,0.0000000005,J208)</f>
        <v>18.6</v>
      </c>
      <c r="T208" s="273" t="n">
        <f aca="false">IF($R208&gt;$F$168,0.0000000005,K208)</f>
        <v>24.8</v>
      </c>
      <c r="U208" s="273" t="n">
        <f aca="false">IF($R208&gt;$F$168,0.0000000005,L208)</f>
        <v>31</v>
      </c>
      <c r="V208" s="273" t="n">
        <f aca="false">$X$184/R208</f>
        <v>58.2805185291907</v>
      </c>
    </row>
    <row r="209" customFormat="false" ht="13.2" hidden="false" customHeight="false" outlineLevel="0" collapsed="false">
      <c r="B209" s="0" t="n">
        <f aca="false">D209*F209</f>
        <v>623.333333333333</v>
      </c>
      <c r="D209" s="268" t="n">
        <v>26</v>
      </c>
      <c r="E209" s="273" t="n">
        <f aca="false">(1-$F$271)*F209</f>
        <v>17.9807692307692</v>
      </c>
      <c r="F209" s="273" t="n">
        <f aca="false">($F$175+(D209-VINMAX)*$E$268/$E$269)/D209</f>
        <v>23.974358974359</v>
      </c>
      <c r="G209" s="273" t="n">
        <f aca="false">F209*(1+$F$271)</f>
        <v>29.9679487179487</v>
      </c>
      <c r="I209" s="268" t="n">
        <v>26</v>
      </c>
      <c r="J209" s="273" t="n">
        <f aca="false">IF(E209&gt;$F$170,$F$170,E209)</f>
        <v>17.9807692307692</v>
      </c>
      <c r="K209" s="273" t="n">
        <f aca="false">IF(F209&gt;$F$171,$F$171,F209)</f>
        <v>23.974358974359</v>
      </c>
      <c r="L209" s="273" t="n">
        <f aca="false">IF(G209&gt;$F$172,$F$172,G209)</f>
        <v>29.9679487179487</v>
      </c>
      <c r="R209" s="268" t="n">
        <v>26</v>
      </c>
      <c r="S209" s="273" t="n">
        <f aca="false">IF($R209&gt;$F$168,0.0000000005,J209)</f>
        <v>17.9807692307692</v>
      </c>
      <c r="T209" s="273" t="n">
        <f aca="false">IF($R209&gt;$F$168,0.0000000005,K209)</f>
        <v>23.974358974359</v>
      </c>
      <c r="U209" s="273" t="n">
        <f aca="false">IF($R209&gt;$F$168,0.0000000005,L209)</f>
        <v>29.9679487179487</v>
      </c>
      <c r="V209" s="273" t="n">
        <f aca="false">$X$184/R209</f>
        <v>56.0389601242219</v>
      </c>
    </row>
    <row r="210" customFormat="false" ht="13.2" hidden="false" customHeight="false" outlineLevel="0" collapsed="false">
      <c r="B210" s="0" t="n">
        <f aca="false">D210*F210</f>
        <v>626.666666666667</v>
      </c>
      <c r="D210" s="268" t="n">
        <v>27</v>
      </c>
      <c r="E210" s="273" t="n">
        <f aca="false">(1-$F$271)*F210</f>
        <v>17.4074074074074</v>
      </c>
      <c r="F210" s="273" t="n">
        <f aca="false">($F$175+(D210-VINMAX)*$E$268/$E$269)/D210</f>
        <v>23.2098765432099</v>
      </c>
      <c r="G210" s="273" t="n">
        <f aca="false">F210*(1+$F$271)</f>
        <v>29.0123456790123</v>
      </c>
      <c r="I210" s="268" t="n">
        <v>27</v>
      </c>
      <c r="J210" s="273" t="n">
        <f aca="false">IF(E210&gt;$F$170,$F$170,E210)</f>
        <v>17.4074074074074</v>
      </c>
      <c r="K210" s="273" t="n">
        <f aca="false">IF(F210&gt;$F$171,$F$171,F210)</f>
        <v>23.2098765432099</v>
      </c>
      <c r="L210" s="273" t="n">
        <f aca="false">IF(G210&gt;$F$172,$F$172,G210)</f>
        <v>29.0123456790123</v>
      </c>
      <c r="R210" s="268" t="n">
        <v>27</v>
      </c>
      <c r="S210" s="273" t="n">
        <f aca="false">IF($R210&gt;$F$168,0.0000000005,J210)</f>
        <v>17.4074074074074</v>
      </c>
      <c r="T210" s="273" t="n">
        <f aca="false">IF($R210&gt;$F$168,0.0000000005,K210)</f>
        <v>23.2098765432099</v>
      </c>
      <c r="U210" s="273" t="n">
        <f aca="false">IF($R210&gt;$F$168,0.0000000005,L210)</f>
        <v>29.0123456790123</v>
      </c>
      <c r="V210" s="273" t="n">
        <f aca="false">$X$184/R210</f>
        <v>53.963443082584</v>
      </c>
    </row>
    <row r="211" customFormat="false" ht="13.2" hidden="false" customHeight="false" outlineLevel="0" collapsed="false">
      <c r="B211" s="0" t="n">
        <f aca="false">D211*F211</f>
        <v>630</v>
      </c>
      <c r="D211" s="268" t="n">
        <v>28</v>
      </c>
      <c r="E211" s="273" t="n">
        <f aca="false">(1-$F$271)*F211</f>
        <v>16.875</v>
      </c>
      <c r="F211" s="273" t="n">
        <f aca="false">($F$175+(D211-VINMAX)*$E$268/$E$269)/D211</f>
        <v>22.5</v>
      </c>
      <c r="G211" s="273" t="n">
        <f aca="false">F211*(1+$F$271)</f>
        <v>28.125</v>
      </c>
      <c r="I211" s="268" t="n">
        <v>28</v>
      </c>
      <c r="J211" s="273" t="n">
        <f aca="false">IF(E211&gt;$F$170,$F$170,E211)</f>
        <v>16.875</v>
      </c>
      <c r="K211" s="273" t="n">
        <f aca="false">IF(F211&gt;$F$171,$F$171,F211)</f>
        <v>22.5</v>
      </c>
      <c r="L211" s="273" t="n">
        <f aca="false">IF(G211&gt;$F$172,$F$172,G211)</f>
        <v>28.125</v>
      </c>
      <c r="R211" s="268" t="n">
        <v>28</v>
      </c>
      <c r="S211" s="273" t="n">
        <f aca="false">IF($R211&gt;$F$168,0.0000000005,J211)</f>
        <v>16.875</v>
      </c>
      <c r="T211" s="273" t="n">
        <f aca="false">IF($R211&gt;$F$168,0.0000000005,K211)</f>
        <v>22.5</v>
      </c>
      <c r="U211" s="273" t="n">
        <f aca="false">IF($R211&gt;$F$168,0.0000000005,L211)</f>
        <v>28.125</v>
      </c>
      <c r="V211" s="273" t="n">
        <f aca="false">$X$184/R211</f>
        <v>52.036177258206</v>
      </c>
    </row>
    <row r="212" customFormat="false" ht="13.2" hidden="false" customHeight="false" outlineLevel="0" collapsed="false">
      <c r="B212" s="0" t="n">
        <f aca="false">D212*F212</f>
        <v>633.333333333333</v>
      </c>
      <c r="D212" s="268" t="n">
        <v>29</v>
      </c>
      <c r="E212" s="273" t="n">
        <f aca="false">(1-$F$271)*F212</f>
        <v>16.3793103448276</v>
      </c>
      <c r="F212" s="273" t="n">
        <f aca="false">($F$175+(D212-VINMAX)*$E$268/$E$269)/D212</f>
        <v>21.8390804597701</v>
      </c>
      <c r="G212" s="273" t="n">
        <f aca="false">F212*(1+$F$271)</f>
        <v>27.2988505747126</v>
      </c>
      <c r="I212" s="268" t="n">
        <v>29</v>
      </c>
      <c r="J212" s="273" t="n">
        <f aca="false">IF(E212&gt;$F$170,$F$170,E212)</f>
        <v>16.3793103448276</v>
      </c>
      <c r="K212" s="273" t="n">
        <f aca="false">IF(F212&gt;$F$171,$F$171,F212)</f>
        <v>21.8390804597701</v>
      </c>
      <c r="L212" s="273" t="n">
        <f aca="false">IF(G212&gt;$F$172,$F$172,G212)</f>
        <v>27.2988505747126</v>
      </c>
      <c r="R212" s="268" t="n">
        <v>29</v>
      </c>
      <c r="S212" s="273" t="n">
        <f aca="false">IF($R212&gt;$F$168,0.0000000005,J212)</f>
        <v>16.3793103448276</v>
      </c>
      <c r="T212" s="273" t="n">
        <f aca="false">IF($R212&gt;$F$168,0.0000000005,K212)</f>
        <v>21.8390804597701</v>
      </c>
      <c r="U212" s="273" t="n">
        <f aca="false">IF($R212&gt;$F$168,0.0000000005,L212)</f>
        <v>27.2988505747126</v>
      </c>
      <c r="V212" s="273" t="n">
        <f aca="false">$X$184/R212</f>
        <v>50.2418263182679</v>
      </c>
    </row>
    <row r="213" customFormat="false" ht="13.2" hidden="false" customHeight="false" outlineLevel="0" collapsed="false">
      <c r="B213" s="0" t="n">
        <f aca="false">D213*F213</f>
        <v>636.666666666667</v>
      </c>
      <c r="D213" s="268" t="n">
        <v>30</v>
      </c>
      <c r="E213" s="273" t="n">
        <f aca="false">(1-$F$271)*F213</f>
        <v>15.9166666666667</v>
      </c>
      <c r="F213" s="273" t="n">
        <f aca="false">($F$175+(D213-VINMAX)*$E$268/$E$269)/D213</f>
        <v>21.2222222222222</v>
      </c>
      <c r="G213" s="273" t="n">
        <f aca="false">F213*(1+$F$271)</f>
        <v>26.5277777777778</v>
      </c>
      <c r="I213" s="268" t="n">
        <v>30</v>
      </c>
      <c r="J213" s="273" t="n">
        <f aca="false">IF(E213&gt;$F$170,$F$170,E213)</f>
        <v>15.9166666666667</v>
      </c>
      <c r="K213" s="273" t="n">
        <f aca="false">IF(F213&gt;$F$171,$F$171,F213)</f>
        <v>21.2222222222222</v>
      </c>
      <c r="L213" s="273" t="n">
        <f aca="false">IF(G213&gt;$F$172,$F$172,G213)</f>
        <v>26.5277777777778</v>
      </c>
      <c r="R213" s="268" t="n">
        <v>30</v>
      </c>
      <c r="S213" s="273" t="n">
        <f aca="false">IF($R213&gt;$F$168,0.0000000005,J213)</f>
        <v>15.9166666666667</v>
      </c>
      <c r="T213" s="273" t="n">
        <f aca="false">IF($R213&gt;$F$168,0.0000000005,K213)</f>
        <v>21.2222222222222</v>
      </c>
      <c r="U213" s="273" t="n">
        <f aca="false">IF($R213&gt;$F$168,0.0000000005,L213)</f>
        <v>26.5277777777778</v>
      </c>
      <c r="V213" s="273" t="n">
        <f aca="false">$X$184/R213</f>
        <v>48.5670987743256</v>
      </c>
    </row>
    <row r="214" customFormat="false" ht="13.2" hidden="false" customHeight="false" outlineLevel="0" collapsed="false">
      <c r="B214" s="0" t="n">
        <f aca="false">D214*F214</f>
        <v>640</v>
      </c>
      <c r="D214" s="268" t="n">
        <v>31</v>
      </c>
      <c r="E214" s="273" t="n">
        <f aca="false">(1-$F$271)*F214</f>
        <v>15.4838709677419</v>
      </c>
      <c r="F214" s="273" t="n">
        <f aca="false">($F$175+(D214-VINMAX)*$E$268/$E$269)/D214</f>
        <v>20.6451612903226</v>
      </c>
      <c r="G214" s="273" t="n">
        <f aca="false">F214*(1+$F$271)</f>
        <v>25.8064516129032</v>
      </c>
      <c r="I214" s="268" t="n">
        <v>31</v>
      </c>
      <c r="J214" s="273" t="n">
        <f aca="false">IF(E214&gt;$F$170,$F$170,E214)</f>
        <v>15.4838709677419</v>
      </c>
      <c r="K214" s="273" t="n">
        <f aca="false">IF(F214&gt;$F$171,$F$171,F214)</f>
        <v>20.6451612903226</v>
      </c>
      <c r="L214" s="273" t="n">
        <f aca="false">IF(G214&gt;$F$172,$F$172,G214)</f>
        <v>25.8064516129032</v>
      </c>
      <c r="R214" s="268" t="n">
        <v>31</v>
      </c>
      <c r="S214" s="273" t="n">
        <f aca="false">IF($R214&gt;$F$168,0.0000000005,J214)</f>
        <v>15.4838709677419</v>
      </c>
      <c r="T214" s="273" t="n">
        <f aca="false">IF($R214&gt;$F$168,0.0000000005,K214)</f>
        <v>20.6451612903226</v>
      </c>
      <c r="U214" s="273" t="n">
        <f aca="false">IF($R214&gt;$F$168,0.0000000005,L214)</f>
        <v>25.8064516129032</v>
      </c>
      <c r="V214" s="273" t="n">
        <f aca="false">$X$184/R214</f>
        <v>47.0004181687022</v>
      </c>
    </row>
    <row r="215" customFormat="false" ht="13.2" hidden="false" customHeight="false" outlineLevel="0" collapsed="false">
      <c r="B215" s="0" t="n">
        <f aca="false">D215*F215</f>
        <v>643.333333333333</v>
      </c>
      <c r="D215" s="268" t="n">
        <v>32</v>
      </c>
      <c r="E215" s="273" t="n">
        <f aca="false">(1-$F$271)*F215</f>
        <v>15.078125</v>
      </c>
      <c r="F215" s="273" t="n">
        <f aca="false">($F$175+(D215-VINMAX)*$E$268/$E$269)/D215</f>
        <v>20.1041666666667</v>
      </c>
      <c r="G215" s="273" t="n">
        <f aca="false">F215*(1+$F$271)</f>
        <v>25.1302083333333</v>
      </c>
      <c r="I215" s="268" t="n">
        <v>32</v>
      </c>
      <c r="J215" s="273" t="n">
        <f aca="false">IF(E215&gt;$F$170,$F$170,E215)</f>
        <v>15.078125</v>
      </c>
      <c r="K215" s="273" t="n">
        <f aca="false">IF(F215&gt;$F$171,$F$171,F215)</f>
        <v>20.1041666666667</v>
      </c>
      <c r="L215" s="273" t="n">
        <f aca="false">IF(G215&gt;$F$172,$F$172,G215)</f>
        <v>25.1302083333333</v>
      </c>
      <c r="R215" s="268" t="n">
        <v>32</v>
      </c>
      <c r="S215" s="273" t="n">
        <f aca="false">IF($R215&gt;$F$168,0.0000000005,J215)</f>
        <v>15.078125</v>
      </c>
      <c r="T215" s="273" t="n">
        <f aca="false">IF($R215&gt;$F$168,0.0000000005,K215)</f>
        <v>20.1041666666667</v>
      </c>
      <c r="U215" s="273" t="n">
        <f aca="false">IF($R215&gt;$F$168,0.0000000005,L215)</f>
        <v>25.1302083333333</v>
      </c>
      <c r="V215" s="273" t="n">
        <f aca="false">$X$184/R215</f>
        <v>45.5316551009303</v>
      </c>
    </row>
    <row r="216" customFormat="false" ht="13.2" hidden="false" customHeight="false" outlineLevel="0" collapsed="false">
      <c r="B216" s="0" t="n">
        <f aca="false">D216*F216</f>
        <v>646.666666666667</v>
      </c>
      <c r="D216" s="268" t="n">
        <v>33</v>
      </c>
      <c r="E216" s="273" t="n">
        <f aca="false">(1-$F$271)*F216</f>
        <v>14.6969696969697</v>
      </c>
      <c r="F216" s="273" t="n">
        <f aca="false">($F$175+(D216-VINMAX)*$E$268/$E$269)/D216</f>
        <v>19.5959595959596</v>
      </c>
      <c r="G216" s="273" t="n">
        <f aca="false">F216*(1+$F$271)</f>
        <v>24.4949494949495</v>
      </c>
      <c r="I216" s="268" t="n">
        <v>33</v>
      </c>
      <c r="J216" s="273" t="n">
        <f aca="false">IF(E216&gt;$F$170,$F$170,E216)</f>
        <v>14.6969696969697</v>
      </c>
      <c r="K216" s="273" t="n">
        <f aca="false">IF(F216&gt;$F$171,$F$171,F216)</f>
        <v>19.5959595959596</v>
      </c>
      <c r="L216" s="273" t="n">
        <f aca="false">IF(G216&gt;$F$172,$F$172,G216)</f>
        <v>24.4949494949495</v>
      </c>
      <c r="R216" s="268" t="n">
        <v>33</v>
      </c>
      <c r="S216" s="273" t="n">
        <f aca="false">IF($R216&gt;$F$168,0.0000000005,J216)</f>
        <v>14.6969696969697</v>
      </c>
      <c r="T216" s="273" t="n">
        <f aca="false">IF($R216&gt;$F$168,0.0000000005,K216)</f>
        <v>19.5959595959596</v>
      </c>
      <c r="U216" s="273" t="n">
        <f aca="false">IF($R216&gt;$F$168,0.0000000005,L216)</f>
        <v>24.4949494949495</v>
      </c>
      <c r="V216" s="273" t="n">
        <f aca="false">$X$184/R216</f>
        <v>44.1519079766597</v>
      </c>
    </row>
    <row r="217" customFormat="false" ht="13.2" hidden="false" customHeight="false" outlineLevel="0" collapsed="false">
      <c r="B217" s="0" t="n">
        <f aca="false">D217*F217</f>
        <v>650</v>
      </c>
      <c r="D217" s="268" t="n">
        <v>34</v>
      </c>
      <c r="E217" s="273" t="n">
        <f aca="false">(1-$F$271)*F217</f>
        <v>14.3382352941176</v>
      </c>
      <c r="F217" s="273" t="n">
        <f aca="false">($F$175+(D217-VINMAX)*$E$268/$E$269)/D217</f>
        <v>19.1176470588235</v>
      </c>
      <c r="G217" s="273" t="n">
        <f aca="false">F217*(1+$F$271)</f>
        <v>23.8970588235294</v>
      </c>
      <c r="I217" s="268" t="n">
        <v>34</v>
      </c>
      <c r="J217" s="273" t="n">
        <f aca="false">IF(E217&gt;$F$170,$F$170,E217)</f>
        <v>14.3382352941176</v>
      </c>
      <c r="K217" s="273" t="n">
        <f aca="false">IF(F217&gt;$F$171,$F$171,F217)</f>
        <v>19.1176470588235</v>
      </c>
      <c r="L217" s="273" t="n">
        <f aca="false">IF(G217&gt;$F$172,$F$172,G217)</f>
        <v>23.8970588235294</v>
      </c>
      <c r="R217" s="268" t="n">
        <v>34</v>
      </c>
      <c r="S217" s="273" t="n">
        <f aca="false">IF($R217&gt;$F$168,0.0000000005,J217)</f>
        <v>14.3382352941176</v>
      </c>
      <c r="T217" s="273" t="n">
        <f aca="false">IF($R217&gt;$F$168,0.0000000005,K217)</f>
        <v>19.1176470588235</v>
      </c>
      <c r="U217" s="273" t="n">
        <f aca="false">IF($R217&gt;$F$168,0.0000000005,L217)</f>
        <v>23.8970588235294</v>
      </c>
      <c r="V217" s="273" t="n">
        <f aca="false">$X$184/R217</f>
        <v>42.8533224479344</v>
      </c>
    </row>
    <row r="218" customFormat="false" ht="13.2" hidden="false" customHeight="false" outlineLevel="0" collapsed="false">
      <c r="B218" s="0" t="n">
        <f aca="false">D218*F218</f>
        <v>653.333333333333</v>
      </c>
      <c r="D218" s="268" t="n">
        <v>35</v>
      </c>
      <c r="E218" s="273" t="n">
        <f aca="false">(1-$F$271)*F218</f>
        <v>14</v>
      </c>
      <c r="F218" s="273" t="n">
        <f aca="false">($F$175+(D218-VINMAX)*$E$268/$E$269)/D218</f>
        <v>18.6666666666667</v>
      </c>
      <c r="G218" s="273" t="n">
        <f aca="false">F218*(1+$F$271)</f>
        <v>23.3333333333333</v>
      </c>
      <c r="I218" s="268" t="n">
        <v>35</v>
      </c>
      <c r="J218" s="273" t="n">
        <f aca="false">IF(E218&gt;$F$170,$F$170,E218)</f>
        <v>14</v>
      </c>
      <c r="K218" s="273" t="n">
        <f aca="false">IF(F218&gt;$F$171,$F$171,F218)</f>
        <v>18.6666666666667</v>
      </c>
      <c r="L218" s="273" t="n">
        <f aca="false">IF(G218&gt;$F$172,$F$172,G218)</f>
        <v>23.3333333333333</v>
      </c>
      <c r="R218" s="268" t="n">
        <v>35</v>
      </c>
      <c r="S218" s="273" t="n">
        <f aca="false">IF($R218&gt;$F$168,0.0000000005,J218)</f>
        <v>14</v>
      </c>
      <c r="T218" s="273" t="n">
        <f aca="false">IF($R218&gt;$F$168,0.0000000005,K218)</f>
        <v>18.6666666666667</v>
      </c>
      <c r="U218" s="273" t="n">
        <f aca="false">IF($R218&gt;$F$168,0.0000000005,L218)</f>
        <v>23.3333333333333</v>
      </c>
      <c r="V218" s="273" t="n">
        <f aca="false">$X$184/R218</f>
        <v>41.6289418065648</v>
      </c>
    </row>
    <row r="219" customFormat="false" ht="13.2" hidden="false" customHeight="false" outlineLevel="0" collapsed="false">
      <c r="B219" s="0" t="n">
        <f aca="false">D219*F219</f>
        <v>656.666666666667</v>
      </c>
      <c r="D219" s="268" t="n">
        <v>36</v>
      </c>
      <c r="E219" s="273" t="n">
        <f aca="false">(1-$F$271)*F219</f>
        <v>13.6805555555556</v>
      </c>
      <c r="F219" s="273" t="n">
        <f aca="false">($F$175+(D219-VINMAX)*$E$268/$E$269)/D219</f>
        <v>18.2407407407407</v>
      </c>
      <c r="G219" s="273" t="n">
        <f aca="false">F219*(1+$F$271)</f>
        <v>22.8009259259259</v>
      </c>
      <c r="I219" s="268" t="n">
        <v>36</v>
      </c>
      <c r="J219" s="273" t="n">
        <f aca="false">IF(E219&gt;$F$170,$F$170,E219)</f>
        <v>13.6805555555556</v>
      </c>
      <c r="K219" s="273" t="n">
        <f aca="false">IF(F219&gt;$F$171,$F$171,F219)</f>
        <v>18.2407407407407</v>
      </c>
      <c r="L219" s="273" t="n">
        <f aca="false">IF(G219&gt;$F$172,$F$172,G219)</f>
        <v>22.8009259259259</v>
      </c>
      <c r="R219" s="268" t="n">
        <v>36</v>
      </c>
      <c r="S219" s="273" t="n">
        <f aca="false">IF($R219&gt;$F$168,0.0000000005,J219)</f>
        <v>13.6805555555556</v>
      </c>
      <c r="T219" s="273" t="n">
        <f aca="false">IF($R219&gt;$F$168,0.0000000005,K219)</f>
        <v>18.2407407407407</v>
      </c>
      <c r="U219" s="273" t="n">
        <f aca="false">IF($R219&gt;$F$168,0.0000000005,L219)</f>
        <v>22.8009259259259</v>
      </c>
      <c r="V219" s="273" t="n">
        <f aca="false">$X$184/R219</f>
        <v>40.472582311938</v>
      </c>
    </row>
    <row r="220" customFormat="false" ht="13.2" hidden="false" customHeight="false" outlineLevel="0" collapsed="false">
      <c r="B220" s="0" t="n">
        <f aca="false">D220*F220</f>
        <v>660</v>
      </c>
      <c r="D220" s="268" t="n">
        <v>37</v>
      </c>
      <c r="E220" s="273" t="n">
        <f aca="false">(1-$F$271)*F220</f>
        <v>13.3783783783784</v>
      </c>
      <c r="F220" s="273" t="n">
        <f aca="false">($F$175+(D220-VINMAX)*$E$268/$E$269)/D220</f>
        <v>17.8378378378378</v>
      </c>
      <c r="G220" s="273" t="n">
        <f aca="false">F220*(1+$F$271)</f>
        <v>22.2972972972973</v>
      </c>
      <c r="I220" s="268" t="n">
        <v>37</v>
      </c>
      <c r="J220" s="273" t="n">
        <f aca="false">IF(E220&gt;$F$170,$F$170,E220)</f>
        <v>13.3783783783784</v>
      </c>
      <c r="K220" s="273" t="n">
        <f aca="false">IF(F220&gt;$F$171,$F$171,F220)</f>
        <v>17.8378378378378</v>
      </c>
      <c r="L220" s="273" t="n">
        <f aca="false">IF(G220&gt;$F$172,$F$172,G220)</f>
        <v>22.2972972972973</v>
      </c>
      <c r="R220" s="268" t="n">
        <v>37</v>
      </c>
      <c r="S220" s="273" t="n">
        <f aca="false">IF($R220&gt;$F$168,0.0000000005,J220)</f>
        <v>13.3783783783784</v>
      </c>
      <c r="T220" s="273" t="n">
        <f aca="false">IF($R220&gt;$F$168,0.0000000005,K220)</f>
        <v>17.8378378378378</v>
      </c>
      <c r="U220" s="273" t="n">
        <f aca="false">IF($R220&gt;$F$168,0.0000000005,L220)</f>
        <v>22.2972972972973</v>
      </c>
      <c r="V220" s="273" t="n">
        <f aca="false">$X$184/R220</f>
        <v>39.3787287359397</v>
      </c>
    </row>
    <row r="221" customFormat="false" ht="13.2" hidden="false" customHeight="false" outlineLevel="0" collapsed="false">
      <c r="B221" s="0" t="n">
        <f aca="false">D221*F221</f>
        <v>663.333333333333</v>
      </c>
      <c r="D221" s="268" t="n">
        <v>38</v>
      </c>
      <c r="E221" s="273" t="n">
        <f aca="false">(1-$F$271)*F221</f>
        <v>13.0921052631579</v>
      </c>
      <c r="F221" s="273" t="n">
        <f aca="false">($F$175+(D221-VINMAX)*$E$268/$E$269)/D221</f>
        <v>17.4561403508772</v>
      </c>
      <c r="G221" s="273" t="n">
        <f aca="false">F221*(1+$F$271)</f>
        <v>21.8201754385965</v>
      </c>
      <c r="I221" s="268" t="n">
        <v>38</v>
      </c>
      <c r="J221" s="273" t="n">
        <f aca="false">IF(E221&gt;$F$170,$F$170,E221)</f>
        <v>13.0921052631579</v>
      </c>
      <c r="K221" s="273" t="n">
        <f aca="false">IF(F221&gt;$F$171,$F$171,F221)</f>
        <v>17.4561403508772</v>
      </c>
      <c r="L221" s="273" t="n">
        <f aca="false">IF(G221&gt;$F$172,$F$172,G221)</f>
        <v>21.8201754385965</v>
      </c>
      <c r="R221" s="270" t="n">
        <v>38</v>
      </c>
      <c r="S221" s="273" t="n">
        <f aca="false">IF($R221&gt;$F$168,0.0000000005,J221)</f>
        <v>13.0921052631579</v>
      </c>
      <c r="T221" s="273" t="n">
        <f aca="false">IF($R221&gt;$F$168,0.0000000005,K221)</f>
        <v>17.4561403508772</v>
      </c>
      <c r="U221" s="273" t="n">
        <f aca="false">IF($R221&gt;$F$168,0.0000000005,L221)</f>
        <v>21.8201754385965</v>
      </c>
      <c r="V221" s="273" t="n">
        <f aca="false">$X$184/R221</f>
        <v>38.3424464007834</v>
      </c>
    </row>
    <row r="222" customFormat="false" ht="13.2" hidden="false" customHeight="false" outlineLevel="0" collapsed="false">
      <c r="B222" s="0" t="n">
        <f aca="false">D222*F222</f>
        <v>666.666666666667</v>
      </c>
      <c r="D222" s="268" t="n">
        <v>39</v>
      </c>
      <c r="E222" s="273" t="n">
        <f aca="false">(1-$F$271)*F222</f>
        <v>12.8205128205128</v>
      </c>
      <c r="F222" s="273" t="n">
        <f aca="false">($F$175+(D222-VINMAX)*$E$268/$E$269)/D222</f>
        <v>17.0940170940171</v>
      </c>
      <c r="G222" s="273" t="n">
        <f aca="false">F222*(1+$F$271)</f>
        <v>21.3675213675214</v>
      </c>
      <c r="I222" s="268" t="n">
        <v>39</v>
      </c>
      <c r="J222" s="273" t="n">
        <f aca="false">IF(E222&gt;$F$170,$F$170,E222)</f>
        <v>12.8205128205128</v>
      </c>
      <c r="K222" s="273" t="n">
        <f aca="false">IF(F222&gt;$F$171,$F$171,F222)</f>
        <v>17.0940170940171</v>
      </c>
      <c r="L222" s="273" t="n">
        <f aca="false">IF(G222&gt;$F$172,$F$172,G222)</f>
        <v>21.3675213675214</v>
      </c>
      <c r="R222" s="270" t="n">
        <v>39</v>
      </c>
      <c r="S222" s="273" t="n">
        <f aca="false">IF($R222&gt;$F$168,0.0000000005,J222)</f>
        <v>12.8205128205128</v>
      </c>
      <c r="T222" s="273" t="n">
        <f aca="false">IF($R222&gt;$F$168,0.0000000005,K222)</f>
        <v>17.0940170940171</v>
      </c>
      <c r="U222" s="273" t="n">
        <f aca="false">IF($R222&gt;$F$168,0.0000000005,L222)</f>
        <v>21.3675213675214</v>
      </c>
      <c r="V222" s="273" t="n">
        <f aca="false">$X$184/R222</f>
        <v>37.3593067494812</v>
      </c>
    </row>
    <row r="223" customFormat="false" ht="13.2" hidden="false" customHeight="false" outlineLevel="0" collapsed="false">
      <c r="B223" s="0" t="n">
        <f aca="false">D223*F223</f>
        <v>670</v>
      </c>
      <c r="D223" s="268" t="n">
        <v>40</v>
      </c>
      <c r="E223" s="273" t="n">
        <f aca="false">(1-$F$271)*F223</f>
        <v>12.5625</v>
      </c>
      <c r="F223" s="273" t="n">
        <f aca="false">($F$175+(D223-VINMAX)*$E$268/$E$269)/D223</f>
        <v>16.75</v>
      </c>
      <c r="G223" s="273" t="n">
        <f aca="false">F223*(1+$F$271)</f>
        <v>20.9375</v>
      </c>
      <c r="I223" s="268" t="n">
        <v>40</v>
      </c>
      <c r="J223" s="273" t="n">
        <f aca="false">IF(E223&gt;$F$170,$F$170,E223)</f>
        <v>12.5625</v>
      </c>
      <c r="K223" s="273" t="n">
        <f aca="false">IF(F223&gt;$F$171,$F$171,F223)</f>
        <v>16.75</v>
      </c>
      <c r="L223" s="273" t="n">
        <f aca="false">IF(G223&gt;$F$172,$F$172,G223)</f>
        <v>20.9375</v>
      </c>
      <c r="R223" s="270" t="n">
        <v>40</v>
      </c>
      <c r="S223" s="273" t="n">
        <f aca="false">IF($R223&gt;$F$168,0.0000000005,J223)</f>
        <v>12.5625</v>
      </c>
      <c r="T223" s="273" t="n">
        <f aca="false">IF($R223&gt;$F$168,0.0000000005,K223)</f>
        <v>16.75</v>
      </c>
      <c r="U223" s="273" t="n">
        <f aca="false">IF($R223&gt;$F$168,0.0000000005,L223)</f>
        <v>20.9375</v>
      </c>
      <c r="V223" s="273" t="n">
        <f aca="false">$X$184/R223</f>
        <v>36.4253240807442</v>
      </c>
    </row>
    <row r="224" customFormat="false" ht="13.2" hidden="false" customHeight="false" outlineLevel="0" collapsed="false">
      <c r="B224" s="0" t="n">
        <f aca="false">D224*F224</f>
        <v>673.333333333333</v>
      </c>
      <c r="D224" s="268" t="n">
        <v>41</v>
      </c>
      <c r="E224" s="273" t="n">
        <f aca="false">(1-$F$271)*F224</f>
        <v>12.3170731707317</v>
      </c>
      <c r="F224" s="273" t="n">
        <f aca="false">($F$175+(D224-VINMAX)*$E$268/$E$269)/D224</f>
        <v>16.4227642276423</v>
      </c>
      <c r="G224" s="273" t="n">
        <f aca="false">F224*(1+$F$271)</f>
        <v>20.5284552845528</v>
      </c>
      <c r="I224" s="268" t="n">
        <v>41</v>
      </c>
      <c r="J224" s="273" t="n">
        <f aca="false">IF(E224&gt;$F$170,$F$170,E224)</f>
        <v>12.3170731707317</v>
      </c>
      <c r="K224" s="273" t="n">
        <f aca="false">IF(F224&gt;$F$171,$F$171,F224)</f>
        <v>16.4227642276423</v>
      </c>
      <c r="L224" s="273" t="n">
        <f aca="false">IF(G224&gt;$F$172,$F$172,G224)</f>
        <v>20.5284552845528</v>
      </c>
      <c r="R224" s="268" t="n">
        <v>41</v>
      </c>
      <c r="S224" s="273" t="n">
        <f aca="false">IF($R224&gt;$F$168,0.0000000005,J224)</f>
        <v>12.3170731707317</v>
      </c>
      <c r="T224" s="273" t="n">
        <f aca="false">IF($R224&gt;$F$168,0.0000000005,K224)</f>
        <v>16.4227642276423</v>
      </c>
      <c r="U224" s="273" t="n">
        <f aca="false">IF($R224&gt;$F$168,0.0000000005,L224)</f>
        <v>20.5284552845528</v>
      </c>
      <c r="V224" s="273" t="n">
        <f aca="false">$X$184/R224</f>
        <v>35.5369015421895</v>
      </c>
    </row>
    <row r="225" customFormat="false" ht="13.2" hidden="false" customHeight="false" outlineLevel="0" collapsed="false">
      <c r="B225" s="0" t="n">
        <f aca="false">D225*F225</f>
        <v>676.666666666667</v>
      </c>
      <c r="D225" s="268" t="n">
        <v>42</v>
      </c>
      <c r="E225" s="273" t="n">
        <f aca="false">(1-$F$271)*F225</f>
        <v>12.0833333333333</v>
      </c>
      <c r="F225" s="273" t="n">
        <f aca="false">($F$175+(D225-VINMAX)*$E$268/$E$269)/D225</f>
        <v>16.1111111111111</v>
      </c>
      <c r="G225" s="273" t="n">
        <f aca="false">F225*(1+$F$271)</f>
        <v>20.1388888888889</v>
      </c>
      <c r="I225" s="268" t="n">
        <v>42</v>
      </c>
      <c r="J225" s="273" t="n">
        <f aca="false">IF(E225&gt;$F$170,$F$170,E225)</f>
        <v>12.0833333333333</v>
      </c>
      <c r="K225" s="273" t="n">
        <f aca="false">IF(F225&gt;$F$171,$F$171,F225)</f>
        <v>16.1111111111111</v>
      </c>
      <c r="L225" s="273" t="n">
        <f aca="false">IF(G225&gt;$F$172,$F$172,G225)</f>
        <v>20.1388888888889</v>
      </c>
      <c r="R225" s="268" t="n">
        <v>42</v>
      </c>
      <c r="S225" s="273" t="n">
        <f aca="false">IF($R225&gt;$F$168,0.0000000005,J225)</f>
        <v>12.0833333333333</v>
      </c>
      <c r="T225" s="273" t="n">
        <f aca="false">IF($R225&gt;$F$168,0.0000000005,K225)</f>
        <v>16.1111111111111</v>
      </c>
      <c r="U225" s="273" t="n">
        <f aca="false">IF($R225&gt;$F$168,0.0000000005,L225)</f>
        <v>20.1388888888889</v>
      </c>
      <c r="V225" s="273" t="n">
        <f aca="false">$X$184/R225</f>
        <v>34.690784838804</v>
      </c>
    </row>
    <row r="226" customFormat="false" ht="13.2" hidden="false" customHeight="false" outlineLevel="0" collapsed="false">
      <c r="B226" s="0" t="n">
        <f aca="false">D226*F226</f>
        <v>680</v>
      </c>
      <c r="D226" s="268" t="n">
        <v>43</v>
      </c>
      <c r="E226" s="273" t="n">
        <f aca="false">(1-$F$271)*F226</f>
        <v>11.8604651162791</v>
      </c>
      <c r="F226" s="273" t="n">
        <f aca="false">($F$175+(D226-VINMAX)*$E$268/$E$269)/D226</f>
        <v>15.8139534883721</v>
      </c>
      <c r="G226" s="273" t="n">
        <f aca="false">F226*(1+$F$271)</f>
        <v>19.7674418604651</v>
      </c>
      <c r="I226" s="268" t="n">
        <v>43</v>
      </c>
      <c r="J226" s="273" t="n">
        <f aca="false">IF(E226&gt;$F$170,$F$170,E226)</f>
        <v>11.8604651162791</v>
      </c>
      <c r="K226" s="273" t="n">
        <f aca="false">IF(F226&gt;$F$171,$F$171,F226)</f>
        <v>15.8139534883721</v>
      </c>
      <c r="L226" s="273" t="n">
        <f aca="false">IF(G226&gt;$F$172,$F$172,G226)</f>
        <v>19.7674418604651</v>
      </c>
      <c r="R226" s="268" t="n">
        <v>43</v>
      </c>
      <c r="S226" s="273" t="n">
        <f aca="false">IF($R226&gt;$F$168,0.0000000005,J226)</f>
        <v>11.8604651162791</v>
      </c>
      <c r="T226" s="273" t="n">
        <f aca="false">IF($R226&gt;$F$168,0.0000000005,K226)</f>
        <v>15.8139534883721</v>
      </c>
      <c r="U226" s="273" t="n">
        <f aca="false">IF($R226&gt;$F$168,0.0000000005,L226)</f>
        <v>19.7674418604651</v>
      </c>
      <c r="V226" s="273" t="n">
        <f aca="false">$X$184/R226</f>
        <v>33.8840224006923</v>
      </c>
    </row>
    <row r="227" customFormat="false" ht="13.2" hidden="false" customHeight="false" outlineLevel="0" collapsed="false">
      <c r="B227" s="0" t="n">
        <f aca="false">D227*F227</f>
        <v>683.333333333333</v>
      </c>
      <c r="D227" s="268" t="n">
        <v>44</v>
      </c>
      <c r="E227" s="273" t="n">
        <f aca="false">(1-$F$271)*F227</f>
        <v>11.6477272727273</v>
      </c>
      <c r="F227" s="273" t="n">
        <f aca="false">($F$175+(D227-VINMAX)*$E$268/$E$269)/D227</f>
        <v>15.530303030303</v>
      </c>
      <c r="G227" s="273" t="n">
        <f aca="false">F227*(1+$F$271)</f>
        <v>19.4128787878788</v>
      </c>
      <c r="I227" s="268" t="n">
        <v>44</v>
      </c>
      <c r="J227" s="273" t="n">
        <f aca="false">IF(E227&gt;$F$170,$F$170,E227)</f>
        <v>11.6477272727273</v>
      </c>
      <c r="K227" s="273" t="n">
        <f aca="false">IF(F227&gt;$F$171,$F$171,F227)</f>
        <v>15.530303030303</v>
      </c>
      <c r="L227" s="273" t="n">
        <f aca="false">IF(G227&gt;$F$172,$F$172,G227)</f>
        <v>19.4128787878788</v>
      </c>
      <c r="R227" s="268" t="n">
        <v>44</v>
      </c>
      <c r="S227" s="273" t="n">
        <f aca="false">IF($R227&gt;$F$168,0.0000000005,J227)</f>
        <v>11.6477272727273</v>
      </c>
      <c r="T227" s="273" t="n">
        <f aca="false">IF($R227&gt;$F$168,0.0000000005,K227)</f>
        <v>15.530303030303</v>
      </c>
      <c r="U227" s="273" t="n">
        <f aca="false">IF($R227&gt;$F$168,0.0000000005,L227)</f>
        <v>19.4128787878788</v>
      </c>
      <c r="V227" s="273" t="n">
        <f aca="false">$X$184/R227</f>
        <v>33.1139309824947</v>
      </c>
    </row>
    <row r="228" customFormat="false" ht="13.2" hidden="false" customHeight="false" outlineLevel="0" collapsed="false">
      <c r="B228" s="0" t="n">
        <f aca="false">D228*F228</f>
        <v>686.666666666667</v>
      </c>
      <c r="D228" s="268" t="n">
        <v>45</v>
      </c>
      <c r="E228" s="273" t="n">
        <f aca="false">(1-$F$271)*F228</f>
        <v>11.4444444444444</v>
      </c>
      <c r="F228" s="273" t="n">
        <f aca="false">($F$175+(D228-VINMAX)*$E$268/$E$269)/D228</f>
        <v>15.2592592592593</v>
      </c>
      <c r="G228" s="273" t="n">
        <f aca="false">F228*(1+$F$271)</f>
        <v>19.0740740740741</v>
      </c>
      <c r="I228" s="268" t="n">
        <v>45</v>
      </c>
      <c r="J228" s="273" t="n">
        <f aca="false">IF(E228&gt;$F$170,$F$170,E228)</f>
        <v>11.4444444444444</v>
      </c>
      <c r="K228" s="273" t="n">
        <f aca="false">IF(F228&gt;$F$171,$F$171,F228)</f>
        <v>15.2592592592593</v>
      </c>
      <c r="L228" s="273" t="n">
        <f aca="false">IF(G228&gt;$F$172,$F$172,G228)</f>
        <v>19.0740740740741</v>
      </c>
      <c r="R228" s="268" t="n">
        <v>45</v>
      </c>
      <c r="S228" s="273" t="n">
        <f aca="false">IF($R228&gt;$F$168,0.0000000005,J228)</f>
        <v>11.4444444444444</v>
      </c>
      <c r="T228" s="273" t="n">
        <f aca="false">IF($R228&gt;$F$168,0.0000000005,K228)</f>
        <v>15.2592592592593</v>
      </c>
      <c r="U228" s="273" t="n">
        <f aca="false">IF($R228&gt;$F$168,0.0000000005,L228)</f>
        <v>19.0740740740741</v>
      </c>
      <c r="V228" s="273" t="n">
        <f aca="false">$X$184/R228</f>
        <v>32.3780658495504</v>
      </c>
    </row>
    <row r="229" customFormat="false" ht="13.2" hidden="false" customHeight="false" outlineLevel="0" collapsed="false">
      <c r="B229" s="0" t="n">
        <f aca="false">D229*F229</f>
        <v>690</v>
      </c>
      <c r="D229" s="268" t="n">
        <v>46</v>
      </c>
      <c r="E229" s="273" t="n">
        <f aca="false">(1-$F$271)*F229</f>
        <v>11.25</v>
      </c>
      <c r="F229" s="273" t="n">
        <f aca="false">($F$175+(D229-VINMAX)*$E$268/$E$269)/D229</f>
        <v>15</v>
      </c>
      <c r="G229" s="273" t="n">
        <f aca="false">F229*(1+$F$271)</f>
        <v>18.75</v>
      </c>
      <c r="I229" s="268" t="n">
        <v>46</v>
      </c>
      <c r="J229" s="273" t="n">
        <f aca="false">IF(E229&gt;$F$170,$F$170,E229)</f>
        <v>11.25</v>
      </c>
      <c r="K229" s="273" t="n">
        <f aca="false">IF(F229&gt;$F$171,$F$171,F229)</f>
        <v>15</v>
      </c>
      <c r="L229" s="273" t="n">
        <f aca="false">IF(G229&gt;$F$172,$F$172,G229)</f>
        <v>18.75</v>
      </c>
      <c r="R229" s="268" t="n">
        <v>46</v>
      </c>
      <c r="S229" s="273" t="n">
        <f aca="false">IF($R229&gt;$F$168,0.0000000005,J229)</f>
        <v>11.25</v>
      </c>
      <c r="T229" s="273" t="n">
        <f aca="false">IF($R229&gt;$F$168,0.0000000005,K229)</f>
        <v>15</v>
      </c>
      <c r="U229" s="273" t="n">
        <f aca="false">IF($R229&gt;$F$168,0.0000000005,L229)</f>
        <v>18.75</v>
      </c>
      <c r="V229" s="273" t="n">
        <f aca="false">$X$184/R229</f>
        <v>31.6741948528211</v>
      </c>
    </row>
    <row r="230" customFormat="false" ht="13.2" hidden="false" customHeight="false" outlineLevel="0" collapsed="false">
      <c r="B230" s="0" t="n">
        <f aca="false">D230*F230</f>
        <v>693.333333333333</v>
      </c>
      <c r="D230" s="268" t="n">
        <v>47</v>
      </c>
      <c r="E230" s="273" t="n">
        <f aca="false">(1-$F$271)*F230</f>
        <v>11.063829787234</v>
      </c>
      <c r="F230" s="273" t="n">
        <f aca="false">($F$175+(D230-VINMAX)*$E$268/$E$269)/D230</f>
        <v>14.7517730496454</v>
      </c>
      <c r="G230" s="273" t="n">
        <f aca="false">F230*(1+$F$271)</f>
        <v>18.4397163120567</v>
      </c>
      <c r="I230" s="268" t="n">
        <v>47</v>
      </c>
      <c r="J230" s="273" t="n">
        <f aca="false">IF(E230&gt;$F$170,$F$170,E230)</f>
        <v>11.063829787234</v>
      </c>
      <c r="K230" s="273" t="n">
        <f aca="false">IF(F230&gt;$F$171,$F$171,F230)</f>
        <v>14.7517730496454</v>
      </c>
      <c r="L230" s="273" t="n">
        <f aca="false">IF(G230&gt;$F$172,$F$172,G230)</f>
        <v>18.4397163120567</v>
      </c>
      <c r="R230" s="268" t="n">
        <v>47</v>
      </c>
      <c r="S230" s="273" t="n">
        <f aca="false">IF($R230&gt;$F$168,0.0000000005,J230)</f>
        <v>11.063829787234</v>
      </c>
      <c r="T230" s="273" t="n">
        <f aca="false">IF($R230&gt;$F$168,0.0000000005,K230)</f>
        <v>14.7517730496454</v>
      </c>
      <c r="U230" s="273" t="n">
        <f aca="false">IF($R230&gt;$F$168,0.0000000005,L230)</f>
        <v>18.4397163120567</v>
      </c>
      <c r="V230" s="273" t="n">
        <f aca="false">$X$184/R230</f>
        <v>31.0002758133993</v>
      </c>
    </row>
    <row r="231" customFormat="false" ht="13.2" hidden="false" customHeight="false" outlineLevel="0" collapsed="false">
      <c r="B231" s="0" t="n">
        <f aca="false">D231*F231</f>
        <v>696.666666666667</v>
      </c>
      <c r="D231" s="268" t="n">
        <v>48</v>
      </c>
      <c r="E231" s="273" t="n">
        <f aca="false">(1-$F$271)*F231</f>
        <v>10.8854166666667</v>
      </c>
      <c r="F231" s="273" t="n">
        <f aca="false">($F$175+(D231-VINMAX)*$E$268/$E$269)/D231</f>
        <v>14.5138888888889</v>
      </c>
      <c r="G231" s="273" t="n">
        <f aca="false">F231*(1+$F$271)</f>
        <v>18.1423611111111</v>
      </c>
      <c r="I231" s="268" t="n">
        <v>48</v>
      </c>
      <c r="J231" s="273" t="n">
        <f aca="false">IF(E231&gt;$F$170,$F$170,E231)</f>
        <v>10.8854166666667</v>
      </c>
      <c r="K231" s="273" t="n">
        <f aca="false">IF(F231&gt;$F$171,$F$171,F231)</f>
        <v>14.5138888888889</v>
      </c>
      <c r="L231" s="273" t="n">
        <f aca="false">IF(G231&gt;$F$172,$F$172,G231)</f>
        <v>18.1423611111111</v>
      </c>
      <c r="R231" s="268" t="n">
        <v>48</v>
      </c>
      <c r="S231" s="273" t="n">
        <f aca="false">IF($R231&gt;$F$168,0.0000000005,J231)</f>
        <v>10.8854166666667</v>
      </c>
      <c r="T231" s="273" t="n">
        <f aca="false">IF($R231&gt;$F$168,0.0000000005,K231)</f>
        <v>14.5138888888889</v>
      </c>
      <c r="U231" s="273" t="n">
        <f aca="false">IF($R231&gt;$F$168,0.0000000005,L231)</f>
        <v>18.1423611111111</v>
      </c>
      <c r="V231" s="273" t="n">
        <f aca="false">$X$184/R231</f>
        <v>30.3544367339535</v>
      </c>
    </row>
    <row r="232" customFormat="false" ht="13.2" hidden="false" customHeight="false" outlineLevel="0" collapsed="false">
      <c r="B232" s="0" t="n">
        <f aca="false">D232*F232</f>
        <v>700</v>
      </c>
      <c r="D232" s="268" t="n">
        <v>49</v>
      </c>
      <c r="E232" s="273" t="n">
        <f aca="false">(1-$F$271)*F232</f>
        <v>10.7142857142857</v>
      </c>
      <c r="F232" s="273" t="n">
        <f aca="false">($F$175+(D232-VINMAX)*$E$268/$E$269)/D232</f>
        <v>14.2857142857143</v>
      </c>
      <c r="G232" s="273" t="n">
        <f aca="false">F232*(1+$F$271)</f>
        <v>17.8571428571429</v>
      </c>
      <c r="I232" s="268" t="n">
        <v>49</v>
      </c>
      <c r="J232" s="273" t="n">
        <f aca="false">IF(E232&gt;$F$170,$F$170,E232)</f>
        <v>10.7142857142857</v>
      </c>
      <c r="K232" s="273" t="n">
        <f aca="false">IF(F232&gt;$F$171,$F$171,F232)</f>
        <v>14.2857142857143</v>
      </c>
      <c r="L232" s="273" t="n">
        <f aca="false">IF(G232&gt;$F$172,$F$172,G232)</f>
        <v>17.8571428571429</v>
      </c>
      <c r="R232" s="268" t="n">
        <v>49</v>
      </c>
      <c r="S232" s="273" t="n">
        <f aca="false">IF($R232&gt;$F$168,0.0000000005,J232)</f>
        <v>10.7142857142857</v>
      </c>
      <c r="T232" s="273" t="n">
        <f aca="false">IF($R232&gt;$F$168,0.0000000005,K232)</f>
        <v>14.2857142857143</v>
      </c>
      <c r="U232" s="273" t="n">
        <f aca="false">IF($R232&gt;$F$168,0.0000000005,L232)</f>
        <v>17.8571428571429</v>
      </c>
      <c r="V232" s="273" t="n">
        <f aca="false">$X$184/R232</f>
        <v>29.7349584332606</v>
      </c>
    </row>
    <row r="233" customFormat="false" ht="13.2" hidden="false" customHeight="false" outlineLevel="0" collapsed="false">
      <c r="B233" s="0" t="n">
        <f aca="false">D233*F233</f>
        <v>703.333333333333</v>
      </c>
      <c r="D233" s="268" t="n">
        <v>50</v>
      </c>
      <c r="E233" s="273" t="n">
        <f aca="false">(1-$F$271)*F233</f>
        <v>10.55</v>
      </c>
      <c r="F233" s="273" t="n">
        <f aca="false">($F$175+(D233-VINMAX)*$E$268/$E$269)/D233</f>
        <v>14.0666666666667</v>
      </c>
      <c r="G233" s="273" t="n">
        <f aca="false">F233*(1+$F$271)</f>
        <v>17.5833333333333</v>
      </c>
      <c r="I233" s="268" t="n">
        <v>50</v>
      </c>
      <c r="J233" s="273" t="n">
        <f aca="false">IF(E233&gt;$F$170,$F$170,E233)</f>
        <v>10.55</v>
      </c>
      <c r="K233" s="273" t="n">
        <f aca="false">IF(F233&gt;$F$171,$F$171,F233)</f>
        <v>14.0666666666667</v>
      </c>
      <c r="L233" s="273" t="n">
        <f aca="false">IF(G233&gt;$F$172,$F$172,G233)</f>
        <v>17.5833333333333</v>
      </c>
      <c r="R233" s="268" t="n">
        <v>50</v>
      </c>
      <c r="S233" s="273" t="n">
        <f aca="false">IF($R233&gt;$F$168,0.0000000005,J233)</f>
        <v>10.55</v>
      </c>
      <c r="T233" s="273" t="n">
        <f aca="false">IF($R233&gt;$F$168,0.0000000005,K233)</f>
        <v>14.0666666666667</v>
      </c>
      <c r="U233" s="273" t="n">
        <f aca="false">IF($R233&gt;$F$168,0.0000000005,L233)</f>
        <v>17.5833333333333</v>
      </c>
      <c r="V233" s="273" t="n">
        <f aca="false">$X$184/R233</f>
        <v>29.1402592645954</v>
      </c>
    </row>
    <row r="234" customFormat="false" ht="13.2" hidden="false" customHeight="false" outlineLevel="0" collapsed="false">
      <c r="B234" s="0" t="n">
        <f aca="false">D234*F234</f>
        <v>706.666666666667</v>
      </c>
      <c r="D234" s="268" t="n">
        <v>51</v>
      </c>
      <c r="E234" s="273" t="n">
        <f aca="false">(1-$F$271)*F234</f>
        <v>10.3921568627451</v>
      </c>
      <c r="F234" s="273" t="n">
        <f aca="false">($F$175+(D234-VINMAX)*$E$268/$E$269)/D234</f>
        <v>13.8562091503268</v>
      </c>
      <c r="G234" s="273" t="n">
        <f aca="false">F234*(1+$F$271)</f>
        <v>17.3202614379085</v>
      </c>
      <c r="I234" s="268" t="n">
        <v>51</v>
      </c>
      <c r="J234" s="273" t="n">
        <f aca="false">IF(E234&gt;$F$170,$F$170,E234)</f>
        <v>10.3921568627451</v>
      </c>
      <c r="K234" s="273" t="n">
        <f aca="false">IF(F234&gt;$F$171,$F$171,F234)</f>
        <v>13.8562091503268</v>
      </c>
      <c r="L234" s="273" t="n">
        <f aca="false">IF(G234&gt;$F$172,$F$172,G234)</f>
        <v>17.3202614379085</v>
      </c>
      <c r="R234" s="268" t="n">
        <v>51</v>
      </c>
      <c r="S234" s="273" t="n">
        <f aca="false">IF($R234&gt;$F$168,0.0000000005,J234)</f>
        <v>5E-010</v>
      </c>
      <c r="T234" s="273" t="n">
        <f aca="false">IF($R234&gt;$F$168,0.0000000005,K234)</f>
        <v>5E-010</v>
      </c>
      <c r="U234" s="273" t="n">
        <f aca="false">IF($R234&gt;$F$168,0.0000000005,L234)</f>
        <v>5E-010</v>
      </c>
      <c r="V234" s="273" t="n">
        <f aca="false">$X$184/R234</f>
        <v>28.5688816319562</v>
      </c>
    </row>
    <row r="235" customFormat="false" ht="13.2" hidden="false" customHeight="false" outlineLevel="0" collapsed="false">
      <c r="B235" s="0" t="n">
        <f aca="false">D235*F235</f>
        <v>710</v>
      </c>
      <c r="D235" s="268" t="n">
        <v>52</v>
      </c>
      <c r="E235" s="273" t="n">
        <f aca="false">(1-$F$271)*F235</f>
        <v>10.2403846153846</v>
      </c>
      <c r="F235" s="273" t="n">
        <f aca="false">($F$175+(D235-VINMAX)*$E$268/$E$269)/D235</f>
        <v>13.6538461538462</v>
      </c>
      <c r="G235" s="273" t="n">
        <f aca="false">F235*(1+$F$271)</f>
        <v>17.0673076923077</v>
      </c>
      <c r="I235" s="268" t="n">
        <v>52</v>
      </c>
      <c r="J235" s="273" t="n">
        <f aca="false">IF(E235&gt;$F$170,$F$170,E235)</f>
        <v>10.2403846153846</v>
      </c>
      <c r="K235" s="273" t="n">
        <f aca="false">IF(F235&gt;$F$171,$F$171,F235)</f>
        <v>13.6538461538462</v>
      </c>
      <c r="L235" s="273" t="n">
        <f aca="false">IF(G235&gt;$F$172,$F$172,G235)</f>
        <v>17.0673076923077</v>
      </c>
      <c r="R235" s="268" t="n">
        <v>52</v>
      </c>
      <c r="S235" s="273" t="n">
        <f aca="false">IF($R235&gt;$F$168,0.0000000005,J235)</f>
        <v>5E-010</v>
      </c>
      <c r="T235" s="273" t="n">
        <f aca="false">IF($R235&gt;$F$168,0.0000000005,K235)</f>
        <v>5E-010</v>
      </c>
      <c r="U235" s="273" t="n">
        <f aca="false">IF($R235&gt;$F$168,0.0000000005,L235)</f>
        <v>5E-010</v>
      </c>
      <c r="V235" s="273" t="n">
        <f aca="false">$X$184/R235</f>
        <v>28.0194800621109</v>
      </c>
    </row>
    <row r="236" customFormat="false" ht="13.2" hidden="false" customHeight="false" outlineLevel="0" collapsed="false">
      <c r="B236" s="0" t="n">
        <f aca="false">D236*F236</f>
        <v>713.333333333333</v>
      </c>
      <c r="D236" s="268" t="n">
        <v>53</v>
      </c>
      <c r="E236" s="273" t="n">
        <f aca="false">(1-$F$271)*F236</f>
        <v>10.0943396226415</v>
      </c>
      <c r="F236" s="273" t="n">
        <f aca="false">($F$175+(D236-VINMAX)*$E$268/$E$269)/D236</f>
        <v>13.4591194968553</v>
      </c>
      <c r="G236" s="273" t="n">
        <f aca="false">F236*(1+$F$271)</f>
        <v>16.8238993710692</v>
      </c>
      <c r="I236" s="268" t="n">
        <v>53</v>
      </c>
      <c r="J236" s="273" t="n">
        <f aca="false">IF(E236&gt;$F$170,$F$170,E236)</f>
        <v>10.0943396226415</v>
      </c>
      <c r="K236" s="273" t="n">
        <f aca="false">IF(F236&gt;$F$171,$F$171,F236)</f>
        <v>13.4591194968553</v>
      </c>
      <c r="L236" s="273" t="n">
        <f aca="false">IF(G236&gt;$F$172,$F$172,G236)</f>
        <v>16.8238993710692</v>
      </c>
      <c r="R236" s="268" t="n">
        <v>53</v>
      </c>
      <c r="S236" s="273" t="n">
        <f aca="false">IF($R236&gt;$F$168,0.0000000005,J236)</f>
        <v>5E-010</v>
      </c>
      <c r="T236" s="273" t="n">
        <f aca="false">IF($R236&gt;$F$168,0.0000000005,K236)</f>
        <v>5E-010</v>
      </c>
      <c r="U236" s="273" t="n">
        <f aca="false">IF($R236&gt;$F$168,0.0000000005,L236)</f>
        <v>5E-010</v>
      </c>
      <c r="V236" s="273" t="n">
        <f aca="false">$X$184/R236</f>
        <v>27.4908106269768</v>
      </c>
    </row>
    <row r="237" customFormat="false" ht="13.2" hidden="false" customHeight="false" outlineLevel="0" collapsed="false">
      <c r="B237" s="0" t="n">
        <f aca="false">D237*F237</f>
        <v>716.666666666667</v>
      </c>
      <c r="D237" s="268" t="n">
        <v>54</v>
      </c>
      <c r="E237" s="273" t="n">
        <f aca="false">(1-$F$271)*F237</f>
        <v>9.9537037037037</v>
      </c>
      <c r="F237" s="273" t="n">
        <f aca="false">($F$175+(D237-VINMAX)*$E$268/$E$269)/D237</f>
        <v>13.2716049382716</v>
      </c>
      <c r="G237" s="273" t="n">
        <f aca="false">F237*(1+$F$271)</f>
        <v>16.5895061728395</v>
      </c>
      <c r="I237" s="268" t="n">
        <v>54</v>
      </c>
      <c r="J237" s="273" t="n">
        <f aca="false">IF(E237&gt;$F$170,$F$170,E237)</f>
        <v>9.9537037037037</v>
      </c>
      <c r="K237" s="273" t="n">
        <f aca="false">IF(F237&gt;$F$171,$F$171,F237)</f>
        <v>13.2716049382716</v>
      </c>
      <c r="L237" s="273" t="n">
        <f aca="false">IF(G237&gt;$F$172,$F$172,G237)</f>
        <v>16.5895061728395</v>
      </c>
      <c r="R237" s="268" t="n">
        <v>54</v>
      </c>
      <c r="S237" s="273" t="n">
        <f aca="false">IF($R237&gt;$F$168,0.0000000005,J237)</f>
        <v>5E-010</v>
      </c>
      <c r="T237" s="273" t="n">
        <f aca="false">IF($R237&gt;$F$168,0.0000000005,K237)</f>
        <v>5E-010</v>
      </c>
      <c r="U237" s="273" t="n">
        <f aca="false">IF($R237&gt;$F$168,0.0000000005,L237)</f>
        <v>5E-010</v>
      </c>
      <c r="V237" s="273" t="n">
        <f aca="false">$X$184/R237</f>
        <v>26.981721541292</v>
      </c>
    </row>
    <row r="238" customFormat="false" ht="13.2" hidden="false" customHeight="false" outlineLevel="0" collapsed="false">
      <c r="B238" s="0" t="n">
        <f aca="false">D238*F238</f>
        <v>720</v>
      </c>
      <c r="D238" s="268" t="n">
        <v>55</v>
      </c>
      <c r="E238" s="273" t="n">
        <f aca="false">(1-$F$271)*F238</f>
        <v>9.81818181818182</v>
      </c>
      <c r="F238" s="273" t="n">
        <f aca="false">($F$175+(D238-VINMAX)*$E$268/$E$269)/D238</f>
        <v>13.0909090909091</v>
      </c>
      <c r="G238" s="273" t="n">
        <f aca="false">F238*(1+$F$271)</f>
        <v>16.3636363636364</v>
      </c>
      <c r="I238" s="268" t="n">
        <v>55</v>
      </c>
      <c r="J238" s="273" t="n">
        <f aca="false">IF(E238&gt;$F$170,$F$170,E238)</f>
        <v>9.81818181818182</v>
      </c>
      <c r="K238" s="273" t="n">
        <f aca="false">IF(F238&gt;$F$171,$F$171,F238)</f>
        <v>13.0909090909091</v>
      </c>
      <c r="L238" s="273" t="n">
        <f aca="false">IF(G238&gt;$F$172,$F$172,G238)</f>
        <v>16.3636363636364</v>
      </c>
      <c r="R238" s="268" t="n">
        <v>55</v>
      </c>
      <c r="S238" s="273" t="n">
        <f aca="false">IF($R238&gt;$F$168,0.0000000005,J238)</f>
        <v>5E-010</v>
      </c>
      <c r="T238" s="273" t="n">
        <f aca="false">IF($R238&gt;$F$168,0.0000000005,K238)</f>
        <v>5E-010</v>
      </c>
      <c r="U238" s="273" t="n">
        <f aca="false">IF($R238&gt;$F$168,0.0000000005,L238)</f>
        <v>5E-010</v>
      </c>
      <c r="V238" s="273" t="n">
        <f aca="false">$X$184/R238</f>
        <v>26.4911447859958</v>
      </c>
    </row>
    <row r="239" customFormat="false" ht="13.2" hidden="false" customHeight="false" outlineLevel="0" collapsed="false">
      <c r="B239" s="0" t="n">
        <f aca="false">D239*F239</f>
        <v>723.333333333333</v>
      </c>
      <c r="D239" s="268" t="n">
        <v>56</v>
      </c>
      <c r="E239" s="273" t="n">
        <f aca="false">(1-$F$271)*F239</f>
        <v>9.6875</v>
      </c>
      <c r="F239" s="273" t="n">
        <f aca="false">($F$175+(D239-VINMAX)*$E$268/$E$269)/D239</f>
        <v>12.9166666666667</v>
      </c>
      <c r="G239" s="273" t="n">
        <f aca="false">F239*(1+$F$271)</f>
        <v>16.1458333333333</v>
      </c>
      <c r="I239" s="268" t="n">
        <v>56</v>
      </c>
      <c r="J239" s="273" t="n">
        <f aca="false">IF(E239&gt;$F$170,$F$170,E239)</f>
        <v>9.6875</v>
      </c>
      <c r="K239" s="273" t="n">
        <f aca="false">IF(F239&gt;$F$171,$F$171,F239)</f>
        <v>12.9166666666667</v>
      </c>
      <c r="L239" s="273" t="n">
        <f aca="false">IF(G239&gt;$F$172,$F$172,G239)</f>
        <v>16.1458333333333</v>
      </c>
      <c r="R239" s="268" t="n">
        <v>56</v>
      </c>
      <c r="S239" s="273" t="n">
        <f aca="false">IF($R239&gt;$F$168,0.0000000005,J239)</f>
        <v>5E-010</v>
      </c>
      <c r="T239" s="273" t="n">
        <f aca="false">IF($R239&gt;$F$168,0.0000000005,K239)</f>
        <v>5E-010</v>
      </c>
      <c r="U239" s="273" t="n">
        <f aca="false">IF($R239&gt;$F$168,0.0000000005,L239)</f>
        <v>5E-010</v>
      </c>
      <c r="V239" s="273" t="n">
        <f aca="false">$X$184/R239</f>
        <v>26.018088629103</v>
      </c>
    </row>
    <row r="240" customFormat="false" ht="13.2" hidden="false" customHeight="false" outlineLevel="0" collapsed="false">
      <c r="B240" s="0" t="n">
        <f aca="false">D240*F240</f>
        <v>726.666666666667</v>
      </c>
      <c r="D240" s="268" t="n">
        <v>57</v>
      </c>
      <c r="E240" s="273" t="n">
        <f aca="false">(1-$F$271)*F240</f>
        <v>9.56140350877193</v>
      </c>
      <c r="F240" s="273" t="n">
        <f aca="false">($F$175+(D240-VINMAX)*$E$268/$E$269)/D240</f>
        <v>12.7485380116959</v>
      </c>
      <c r="G240" s="273" t="n">
        <f aca="false">F240*(1+$F$271)</f>
        <v>15.9356725146199</v>
      </c>
      <c r="I240" s="268" t="n">
        <v>57</v>
      </c>
      <c r="J240" s="273" t="n">
        <f aca="false">IF(E240&gt;$F$170,$F$170,E240)</f>
        <v>9.56140350877193</v>
      </c>
      <c r="K240" s="273" t="n">
        <f aca="false">IF(F240&gt;$F$171,$F$171,F240)</f>
        <v>12.7485380116959</v>
      </c>
      <c r="L240" s="273" t="n">
        <f aca="false">IF(G240&gt;$F$172,$F$172,G240)</f>
        <v>15.9356725146199</v>
      </c>
      <c r="R240" s="268" t="n">
        <v>57</v>
      </c>
      <c r="S240" s="273" t="n">
        <f aca="false">IF($R240&gt;$F$168,0.0000000005,J240)</f>
        <v>5E-010</v>
      </c>
      <c r="T240" s="273" t="n">
        <f aca="false">IF($R240&gt;$F$168,0.0000000005,K240)</f>
        <v>5E-010</v>
      </c>
      <c r="U240" s="273" t="n">
        <f aca="false">IF($R240&gt;$F$168,0.0000000005,L240)</f>
        <v>5E-010</v>
      </c>
      <c r="V240" s="273" t="n">
        <f aca="false">$X$184/R240</f>
        <v>25.5616309338556</v>
      </c>
    </row>
    <row r="241" customFormat="false" ht="13.2" hidden="false" customHeight="false" outlineLevel="0" collapsed="false">
      <c r="B241" s="0" t="n">
        <f aca="false">D241*F241</f>
        <v>730</v>
      </c>
      <c r="D241" s="268" t="n">
        <v>58</v>
      </c>
      <c r="E241" s="273" t="n">
        <f aca="false">(1-$F$271)*F241</f>
        <v>9.43965517241379</v>
      </c>
      <c r="F241" s="273" t="n">
        <f aca="false">($F$175+(D241-VINMAX)*$E$268/$E$269)/D241</f>
        <v>12.5862068965517</v>
      </c>
      <c r="G241" s="273" t="n">
        <f aca="false">F241*(1+$F$271)</f>
        <v>15.7327586206897</v>
      </c>
      <c r="I241" s="268" t="n">
        <v>58</v>
      </c>
      <c r="J241" s="273" t="n">
        <f aca="false">IF(E241&gt;$F$170,$F$170,E241)</f>
        <v>9.43965517241379</v>
      </c>
      <c r="K241" s="273" t="n">
        <f aca="false">IF(F241&gt;$F$171,$F$171,F241)</f>
        <v>12.5862068965517</v>
      </c>
      <c r="L241" s="273" t="n">
        <f aca="false">IF(G241&gt;$F$172,$F$172,G241)</f>
        <v>15.7327586206897</v>
      </c>
      <c r="R241" s="270" t="n">
        <v>58</v>
      </c>
      <c r="S241" s="273" t="n">
        <f aca="false">IF($R241&gt;$F$168,0.0000000005,J241)</f>
        <v>5E-010</v>
      </c>
      <c r="T241" s="273" t="n">
        <f aca="false">IF($R241&gt;$F$168,0.0000000005,K241)</f>
        <v>5E-010</v>
      </c>
      <c r="U241" s="273" t="n">
        <f aca="false">IF($R241&gt;$F$168,0.0000000005,L241)</f>
        <v>5E-010</v>
      </c>
      <c r="V241" s="273" t="n">
        <f aca="false">$X$184/R241</f>
        <v>25.1209131591339</v>
      </c>
    </row>
    <row r="242" customFormat="false" ht="13.2" hidden="false" customHeight="false" outlineLevel="0" collapsed="false">
      <c r="B242" s="0" t="n">
        <f aca="false">D242*F242</f>
        <v>733.333333333333</v>
      </c>
      <c r="D242" s="268" t="n">
        <v>59</v>
      </c>
      <c r="E242" s="273" t="n">
        <f aca="false">(1-$F$271)*F242</f>
        <v>9.32203389830508</v>
      </c>
      <c r="F242" s="273" t="n">
        <f aca="false">($F$175+(D242-VINMAX)*$E$268/$E$269)/D242</f>
        <v>12.4293785310734</v>
      </c>
      <c r="G242" s="273" t="n">
        <f aca="false">F242*(1+$F$271)</f>
        <v>15.5367231638418</v>
      </c>
      <c r="I242" s="268" t="n">
        <v>59</v>
      </c>
      <c r="J242" s="273" t="n">
        <f aca="false">IF(E242&gt;$F$170,$F$170,E242)</f>
        <v>9.32203389830508</v>
      </c>
      <c r="K242" s="273" t="n">
        <f aca="false">IF(F242&gt;$F$171,$F$171,F242)</f>
        <v>12.4293785310734</v>
      </c>
      <c r="L242" s="273" t="n">
        <f aca="false">IF(G242&gt;$F$172,$F$172,G242)</f>
        <v>15.5367231638418</v>
      </c>
      <c r="R242" s="270" t="n">
        <v>59</v>
      </c>
      <c r="S242" s="273" t="n">
        <f aca="false">IF($R242&gt;$F$168,0.0000000005,J242)</f>
        <v>5E-010</v>
      </c>
      <c r="T242" s="273" t="n">
        <f aca="false">IF($R242&gt;$F$168,0.0000000005,K242)</f>
        <v>5E-010</v>
      </c>
      <c r="U242" s="273" t="n">
        <f aca="false">IF($R242&gt;$F$168,0.0000000005,L242)</f>
        <v>5E-010</v>
      </c>
      <c r="V242" s="273" t="n">
        <f aca="false">$X$184/R242</f>
        <v>24.6951349699961</v>
      </c>
    </row>
    <row r="243" customFormat="false" ht="13.2" hidden="false" customHeight="false" outlineLevel="0" collapsed="false">
      <c r="B243" s="0" t="n">
        <f aca="false">D243*F243</f>
        <v>736.666666666667</v>
      </c>
      <c r="D243" s="268" t="n">
        <v>60</v>
      </c>
      <c r="E243" s="273" t="n">
        <f aca="false">(1-$F$271)*F243</f>
        <v>9.20833333333333</v>
      </c>
      <c r="F243" s="273" t="n">
        <f aca="false">($F$175+(D243-VINMAX)*$E$268/$E$269)/D243</f>
        <v>12.2777777777778</v>
      </c>
      <c r="G243" s="273" t="n">
        <f aca="false">F243*(1+$F$271)</f>
        <v>15.3472222222222</v>
      </c>
      <c r="I243" s="268" t="n">
        <v>60</v>
      </c>
      <c r="J243" s="273" t="n">
        <f aca="false">IF(E243&gt;$F$170,$F$170,E243)</f>
        <v>9.20833333333333</v>
      </c>
      <c r="K243" s="273" t="n">
        <f aca="false">IF(F243&gt;$F$171,$F$171,F243)</f>
        <v>12.2777777777778</v>
      </c>
      <c r="L243" s="273" t="n">
        <f aca="false">IF(G243&gt;$F$172,$F$172,G243)</f>
        <v>15.3472222222222</v>
      </c>
      <c r="R243" s="270" t="n">
        <v>60</v>
      </c>
      <c r="S243" s="273" t="n">
        <f aca="false">IF($R243&gt;$F$168,0.0000000005,J243)</f>
        <v>5E-010</v>
      </c>
      <c r="T243" s="273" t="n">
        <f aca="false">IF($R243&gt;$F$168,0.0000000005,K243)</f>
        <v>5E-010</v>
      </c>
      <c r="U243" s="273" t="n">
        <f aca="false">IF($R243&gt;$F$168,0.0000000005,L243)</f>
        <v>5E-010</v>
      </c>
      <c r="V243" s="273" t="n">
        <f aca="false">$X$184/R243</f>
        <v>24.2835493871628</v>
      </c>
    </row>
    <row r="244" customFormat="false" ht="13.2" hidden="false" customHeight="false" outlineLevel="0" collapsed="false">
      <c r="B244" s="0" t="n">
        <f aca="false">D244*F244</f>
        <v>740</v>
      </c>
      <c r="D244" s="268" t="n">
        <v>61</v>
      </c>
      <c r="E244" s="273" t="n">
        <f aca="false">(1-$F$271)*F244</f>
        <v>9.0983606557377</v>
      </c>
      <c r="F244" s="273" t="n">
        <f aca="false">($F$175+(D244-VINMAX)*$E$268/$E$269)/D244</f>
        <v>12.1311475409836</v>
      </c>
      <c r="G244" s="273" t="n">
        <f aca="false">F244*(1+$F$271)</f>
        <v>15.1639344262295</v>
      </c>
      <c r="I244" s="268" t="n">
        <v>61</v>
      </c>
      <c r="J244" s="273" t="n">
        <f aca="false">IF(E244&gt;$F$170,$F$170,E244)</f>
        <v>9.0983606557377</v>
      </c>
      <c r="K244" s="273" t="n">
        <f aca="false">IF(F244&gt;$F$171,$F$171,F244)</f>
        <v>12.1311475409836</v>
      </c>
      <c r="L244" s="273" t="n">
        <f aca="false">IF(G244&gt;$F$172,$F$172,G244)</f>
        <v>15.1639344262295</v>
      </c>
      <c r="R244" s="268" t="n">
        <v>61</v>
      </c>
      <c r="S244" s="273" t="n">
        <f aca="false">IF($R244&gt;$F$168,0.0000000005,J244)</f>
        <v>5E-010</v>
      </c>
      <c r="T244" s="273" t="n">
        <f aca="false">IF($R244&gt;$F$168,0.0000000005,K244)</f>
        <v>5E-010</v>
      </c>
      <c r="U244" s="273" t="n">
        <f aca="false">IF($R244&gt;$F$168,0.0000000005,L244)</f>
        <v>5E-010</v>
      </c>
      <c r="V244" s="273" t="n">
        <f aca="false">$X$184/R244</f>
        <v>23.8854584136028</v>
      </c>
    </row>
    <row r="245" customFormat="false" ht="13.2" hidden="false" customHeight="false" outlineLevel="0" collapsed="false">
      <c r="B245" s="0" t="n">
        <f aca="false">D245*F245</f>
        <v>743.333333333333</v>
      </c>
      <c r="D245" s="268" t="n">
        <v>62</v>
      </c>
      <c r="E245" s="273" t="n">
        <f aca="false">(1-$F$271)*F245</f>
        <v>8.99193548387097</v>
      </c>
      <c r="F245" s="273" t="n">
        <f aca="false">($F$175+(D245-VINMAX)*$E$268/$E$269)/D245</f>
        <v>11.989247311828</v>
      </c>
      <c r="G245" s="273" t="n">
        <f aca="false">F245*(1+$F$271)</f>
        <v>14.9865591397849</v>
      </c>
      <c r="I245" s="268" t="n">
        <v>62</v>
      </c>
      <c r="J245" s="273" t="n">
        <f aca="false">IF(E245&gt;$F$170,$F$170,E245)</f>
        <v>8.99193548387097</v>
      </c>
      <c r="K245" s="273" t="n">
        <f aca="false">IF(F245&gt;$F$171,$F$171,F245)</f>
        <v>11.989247311828</v>
      </c>
      <c r="L245" s="273" t="n">
        <f aca="false">IF(G245&gt;$F$172,$F$172,G245)</f>
        <v>14.9865591397849</v>
      </c>
      <c r="R245" s="268" t="n">
        <v>62</v>
      </c>
      <c r="S245" s="273" t="n">
        <f aca="false">IF($R245&gt;$F$168,0.0000000005,J245)</f>
        <v>5E-010</v>
      </c>
      <c r="T245" s="273" t="n">
        <f aca="false">IF($R245&gt;$F$168,0.0000000005,K245)</f>
        <v>5E-010</v>
      </c>
      <c r="U245" s="273" t="n">
        <f aca="false">IF($R245&gt;$F$168,0.0000000005,L245)</f>
        <v>5E-010</v>
      </c>
      <c r="V245" s="273" t="n">
        <f aca="false">$X$184/R245</f>
        <v>23.5002090843511</v>
      </c>
    </row>
    <row r="246" customFormat="false" ht="13.2" hidden="false" customHeight="false" outlineLevel="0" collapsed="false">
      <c r="B246" s="0" t="n">
        <f aca="false">D246*F246</f>
        <v>746.666666666667</v>
      </c>
      <c r="D246" s="268" t="n">
        <v>63</v>
      </c>
      <c r="E246" s="273" t="n">
        <f aca="false">(1-$F$271)*F246</f>
        <v>8.88888888888889</v>
      </c>
      <c r="F246" s="273" t="n">
        <f aca="false">($F$175+(D246-VINMAX)*$E$268/$E$269)/D246</f>
        <v>11.8518518518519</v>
      </c>
      <c r="G246" s="273" t="n">
        <f aca="false">F246*(1+$F$271)</f>
        <v>14.8148148148148</v>
      </c>
      <c r="I246" s="268" t="n">
        <v>63</v>
      </c>
      <c r="J246" s="273" t="n">
        <f aca="false">IF(E246&gt;$F$170,$F$170,E246)</f>
        <v>8.88888888888889</v>
      </c>
      <c r="K246" s="273" t="n">
        <f aca="false">IF(F246&gt;$F$171,$F$171,F246)</f>
        <v>11.8518518518519</v>
      </c>
      <c r="L246" s="273" t="n">
        <f aca="false">IF(G246&gt;$F$172,$F$172,G246)</f>
        <v>14.8148148148148</v>
      </c>
      <c r="R246" s="268" t="n">
        <v>63</v>
      </c>
      <c r="S246" s="273" t="n">
        <f aca="false">IF($R246&gt;$F$168,0.0000000005,J246)</f>
        <v>5E-010</v>
      </c>
      <c r="T246" s="273" t="n">
        <f aca="false">IF($R246&gt;$F$168,0.0000000005,K246)</f>
        <v>5E-010</v>
      </c>
      <c r="U246" s="273" t="n">
        <f aca="false">IF($R246&gt;$F$168,0.0000000005,L246)</f>
        <v>5E-010</v>
      </c>
      <c r="V246" s="273" t="n">
        <f aca="false">$X$184/R246</f>
        <v>23.127189892536</v>
      </c>
    </row>
    <row r="247" customFormat="false" ht="13.2" hidden="false" customHeight="false" outlineLevel="0" collapsed="false">
      <c r="B247" s="0" t="n">
        <f aca="false">D247*F247</f>
        <v>750</v>
      </c>
      <c r="D247" s="268" t="n">
        <v>64</v>
      </c>
      <c r="E247" s="273" t="n">
        <f aca="false">(1-$F$271)*F247</f>
        <v>8.7890625</v>
      </c>
      <c r="F247" s="273" t="n">
        <f aca="false">($F$175+(D247-VINMAX)*$E$268/$E$269)/D247</f>
        <v>11.71875</v>
      </c>
      <c r="G247" s="273" t="n">
        <f aca="false">F247*(1+$F$271)</f>
        <v>14.6484375</v>
      </c>
      <c r="I247" s="268" t="n">
        <v>64</v>
      </c>
      <c r="J247" s="273" t="n">
        <f aca="false">IF(E247&gt;$F$170,$F$170,E247)</f>
        <v>8.7890625</v>
      </c>
      <c r="K247" s="273" t="n">
        <f aca="false">IF(F247&gt;$F$171,$F$171,F247)</f>
        <v>11.71875</v>
      </c>
      <c r="L247" s="273" t="n">
        <f aca="false">IF(G247&gt;$F$172,$F$172,G247)</f>
        <v>14.6484375</v>
      </c>
      <c r="R247" s="268" t="n">
        <v>64</v>
      </c>
      <c r="S247" s="273" t="n">
        <f aca="false">IF($R247&gt;$F$168,0.0000000005,J247)</f>
        <v>5E-010</v>
      </c>
      <c r="T247" s="273" t="n">
        <f aca="false">IF($R247&gt;$F$168,0.0000000005,K247)</f>
        <v>5E-010</v>
      </c>
      <c r="U247" s="273" t="n">
        <f aca="false">IF($R247&gt;$F$168,0.0000000005,L247)</f>
        <v>5E-010</v>
      </c>
      <c r="V247" s="273" t="n">
        <f aca="false">$X$184/R247</f>
        <v>22.7658275504651</v>
      </c>
    </row>
    <row r="248" customFormat="false" ht="13.2" hidden="false" customHeight="false" outlineLevel="0" collapsed="false">
      <c r="B248" s="0" t="n">
        <f aca="false">D248*F248</f>
        <v>753.333333333333</v>
      </c>
      <c r="D248" s="268" t="n">
        <v>65</v>
      </c>
      <c r="E248" s="273" t="n">
        <f aca="false">(1-$F$271)*F248</f>
        <v>8.69230769230769</v>
      </c>
      <c r="F248" s="273" t="n">
        <f aca="false">($F$175+(D248-VINMAX)*$E$268/$E$269)/D248</f>
        <v>11.5897435897436</v>
      </c>
      <c r="G248" s="273" t="n">
        <f aca="false">F248*(1+$F$271)</f>
        <v>14.4871794871795</v>
      </c>
      <c r="I248" s="268" t="n">
        <v>65</v>
      </c>
      <c r="J248" s="273" t="n">
        <f aca="false">IF(E248&gt;$F$170,$F$170,E248)</f>
        <v>8.69230769230769</v>
      </c>
      <c r="K248" s="273" t="n">
        <f aca="false">IF(F248&gt;$F$171,$F$171,F248)</f>
        <v>11.5897435897436</v>
      </c>
      <c r="L248" s="273" t="n">
        <f aca="false">IF(G248&gt;$F$172,$F$172,G248)</f>
        <v>14.4871794871795</v>
      </c>
      <c r="R248" s="268" t="n">
        <v>65</v>
      </c>
      <c r="S248" s="273" t="n">
        <f aca="false">IF($R248&gt;$F$168,0.0000000005,J248)</f>
        <v>5E-010</v>
      </c>
      <c r="T248" s="273" t="n">
        <f aca="false">IF($R248&gt;$F$168,0.0000000005,K248)</f>
        <v>5E-010</v>
      </c>
      <c r="U248" s="273" t="n">
        <f aca="false">IF($R248&gt;$F$168,0.0000000005,L248)</f>
        <v>5E-010</v>
      </c>
      <c r="V248" s="273" t="n">
        <f aca="false">$X$184/R248</f>
        <v>22.4155840496887</v>
      </c>
    </row>
    <row r="249" customFormat="false" ht="13.2" hidden="false" customHeight="false" outlineLevel="0" collapsed="false">
      <c r="B249" s="0" t="n">
        <f aca="false">D249*F249</f>
        <v>756.666666666667</v>
      </c>
      <c r="D249" s="268" t="n">
        <v>66</v>
      </c>
      <c r="E249" s="273" t="n">
        <f aca="false">(1-$F$271)*F249</f>
        <v>8.59848484848485</v>
      </c>
      <c r="F249" s="273" t="n">
        <f aca="false">($F$175+(D249-VINMAX)*$E$268/$E$269)/D249</f>
        <v>11.4646464646465</v>
      </c>
      <c r="G249" s="273" t="n">
        <f aca="false">F249*(1+$F$271)</f>
        <v>14.3308080808081</v>
      </c>
      <c r="I249" s="268" t="n">
        <v>66</v>
      </c>
      <c r="J249" s="273" t="n">
        <f aca="false">IF(E249&gt;$F$170,$F$170,E249)</f>
        <v>8.59848484848485</v>
      </c>
      <c r="K249" s="273" t="n">
        <f aca="false">IF(F249&gt;$F$171,$F$171,F249)</f>
        <v>11.4646464646465</v>
      </c>
      <c r="L249" s="273" t="n">
        <f aca="false">IF(G249&gt;$F$172,$F$172,G249)</f>
        <v>14.3308080808081</v>
      </c>
      <c r="R249" s="268" t="n">
        <v>66</v>
      </c>
      <c r="S249" s="273" t="n">
        <f aca="false">IF($R249&gt;$F$168,0.0000000005,J249)</f>
        <v>5E-010</v>
      </c>
      <c r="T249" s="273" t="n">
        <f aca="false">IF($R249&gt;$F$168,0.0000000005,K249)</f>
        <v>5E-010</v>
      </c>
      <c r="U249" s="273" t="n">
        <f aca="false">IF($R249&gt;$F$168,0.0000000005,L249)</f>
        <v>5E-010</v>
      </c>
      <c r="V249" s="273" t="n">
        <f aca="false">$X$184/R249</f>
        <v>22.0759539883298</v>
      </c>
    </row>
    <row r="250" customFormat="false" ht="13.2" hidden="false" customHeight="false" outlineLevel="0" collapsed="false">
      <c r="B250" s="0" t="n">
        <f aca="false">D250*F250</f>
        <v>760</v>
      </c>
      <c r="D250" s="268" t="n">
        <v>67</v>
      </c>
      <c r="E250" s="273" t="n">
        <f aca="false">(1-$F$271)*F250</f>
        <v>8.50746268656716</v>
      </c>
      <c r="F250" s="273" t="n">
        <f aca="false">($F$175+(D250-VINMAX)*$E$268/$E$269)/D250</f>
        <v>11.3432835820896</v>
      </c>
      <c r="G250" s="273" t="n">
        <f aca="false">F250*(1+$F$271)</f>
        <v>14.1791044776119</v>
      </c>
      <c r="I250" s="268" t="n">
        <v>67</v>
      </c>
      <c r="J250" s="273" t="n">
        <f aca="false">IF(E250&gt;$F$170,$F$170,E250)</f>
        <v>8.50746268656716</v>
      </c>
      <c r="K250" s="273" t="n">
        <f aca="false">IF(F250&gt;$F$171,$F$171,F250)</f>
        <v>11.3432835820896</v>
      </c>
      <c r="L250" s="273" t="n">
        <f aca="false">IF(G250&gt;$F$172,$F$172,G250)</f>
        <v>14.1791044776119</v>
      </c>
      <c r="R250" s="268" t="n">
        <v>67</v>
      </c>
      <c r="S250" s="273" t="n">
        <f aca="false">IF($R250&gt;$F$168,0.0000000005,J250)</f>
        <v>5E-010</v>
      </c>
      <c r="T250" s="273" t="n">
        <f aca="false">IF($R250&gt;$F$168,0.0000000005,K250)</f>
        <v>5E-010</v>
      </c>
      <c r="U250" s="273" t="n">
        <f aca="false">IF($R250&gt;$F$168,0.0000000005,L250)</f>
        <v>5E-010</v>
      </c>
      <c r="V250" s="273" t="n">
        <f aca="false">$X$184/R250</f>
        <v>21.7464621377577</v>
      </c>
    </row>
    <row r="251" customFormat="false" ht="13.2" hidden="false" customHeight="false" outlineLevel="0" collapsed="false">
      <c r="B251" s="0" t="n">
        <f aca="false">D251*F251</f>
        <v>763.333333333333</v>
      </c>
      <c r="D251" s="268" t="n">
        <v>68</v>
      </c>
      <c r="E251" s="273" t="n">
        <f aca="false">(1-$F$271)*F251</f>
        <v>8.41911764705882</v>
      </c>
      <c r="F251" s="273" t="n">
        <f aca="false">($F$175+(D251-VINMAX)*$E$268/$E$269)/D251</f>
        <v>11.2254901960784</v>
      </c>
      <c r="G251" s="273" t="n">
        <f aca="false">F251*(1+$F$271)</f>
        <v>14.031862745098</v>
      </c>
      <c r="I251" s="268" t="n">
        <v>68</v>
      </c>
      <c r="J251" s="273" t="n">
        <f aca="false">IF(E251&gt;$F$170,$F$170,E251)</f>
        <v>8.41911764705882</v>
      </c>
      <c r="K251" s="273" t="n">
        <f aca="false">IF(F251&gt;$F$171,$F$171,F251)</f>
        <v>11.2254901960784</v>
      </c>
      <c r="L251" s="273" t="n">
        <f aca="false">IF(G251&gt;$F$172,$F$172,G251)</f>
        <v>14.031862745098</v>
      </c>
      <c r="R251" s="268" t="n">
        <v>68</v>
      </c>
      <c r="S251" s="273" t="n">
        <f aca="false">IF($R251&gt;$F$168,0.0000000005,J251)</f>
        <v>5E-010</v>
      </c>
      <c r="T251" s="273" t="n">
        <f aca="false">IF($R251&gt;$F$168,0.0000000005,K251)</f>
        <v>5E-010</v>
      </c>
      <c r="U251" s="273" t="n">
        <f aca="false">IF($R251&gt;$F$168,0.0000000005,L251)</f>
        <v>5E-010</v>
      </c>
      <c r="V251" s="273" t="n">
        <f aca="false">$X$184/R251</f>
        <v>21.4266612239672</v>
      </c>
    </row>
    <row r="252" customFormat="false" ht="13.2" hidden="false" customHeight="false" outlineLevel="0" collapsed="false">
      <c r="B252" s="0" t="n">
        <f aca="false">D252*F252</f>
        <v>766.666666666667</v>
      </c>
      <c r="D252" s="268" t="n">
        <v>69</v>
      </c>
      <c r="E252" s="273" t="n">
        <f aca="false">(1-$F$271)*F252</f>
        <v>8.33333333333333</v>
      </c>
      <c r="F252" s="273" t="n">
        <f aca="false">($F$175+(D252-VINMAX)*$E$268/$E$269)/D252</f>
        <v>11.1111111111111</v>
      </c>
      <c r="G252" s="273" t="n">
        <f aca="false">F252*(1+$F$271)</f>
        <v>13.8888888888889</v>
      </c>
      <c r="I252" s="268" t="n">
        <v>69</v>
      </c>
      <c r="J252" s="273" t="n">
        <f aca="false">IF(E252&gt;$F$170,$F$170,E252)</f>
        <v>8.33333333333333</v>
      </c>
      <c r="K252" s="273" t="n">
        <f aca="false">IF(F252&gt;$F$171,$F$171,F252)</f>
        <v>11.1111111111111</v>
      </c>
      <c r="L252" s="273" t="n">
        <f aca="false">IF(G252&gt;$F$172,$F$172,G252)</f>
        <v>13.8888888888889</v>
      </c>
      <c r="R252" s="268" t="n">
        <v>69</v>
      </c>
      <c r="S252" s="273" t="n">
        <f aca="false">IF($R252&gt;$F$168,0.0000000005,J252)</f>
        <v>5E-010</v>
      </c>
      <c r="T252" s="273" t="n">
        <f aca="false">IF($R252&gt;$F$168,0.0000000005,K252)</f>
        <v>5E-010</v>
      </c>
      <c r="U252" s="273" t="n">
        <f aca="false">IF($R252&gt;$F$168,0.0000000005,L252)</f>
        <v>5E-010</v>
      </c>
      <c r="V252" s="273" t="n">
        <f aca="false">$X$184/R252</f>
        <v>21.1161299018807</v>
      </c>
    </row>
    <row r="253" customFormat="false" ht="13.2" hidden="false" customHeight="false" outlineLevel="0" collapsed="false">
      <c r="B253" s="0" t="n">
        <f aca="false">D253*F253</f>
        <v>770</v>
      </c>
      <c r="D253" s="268" t="n">
        <v>70</v>
      </c>
      <c r="E253" s="273" t="n">
        <f aca="false">(1-$F$271)*F253</f>
        <v>8.25</v>
      </c>
      <c r="F253" s="273" t="n">
        <f aca="false">($F$175+(D253-VINMAX)*$E$268/$E$269)/D253</f>
        <v>11</v>
      </c>
      <c r="G253" s="273" t="n">
        <f aca="false">F253*(1+$F$271)</f>
        <v>13.75</v>
      </c>
      <c r="I253" s="268" t="n">
        <v>70</v>
      </c>
      <c r="J253" s="273" t="n">
        <f aca="false">IF(E253&gt;$F$170,$F$170,E253)</f>
        <v>8.25</v>
      </c>
      <c r="K253" s="273" t="n">
        <f aca="false">IF(F253&gt;$F$171,$F$171,F253)</f>
        <v>11</v>
      </c>
      <c r="L253" s="273" t="n">
        <f aca="false">IF(G253&gt;$F$172,$F$172,G253)</f>
        <v>13.75</v>
      </c>
      <c r="R253" s="268" t="n">
        <v>70</v>
      </c>
      <c r="S253" s="273" t="n">
        <f aca="false">IF($R253&gt;$F$168,0.0000000005,J253)</f>
        <v>5E-010</v>
      </c>
      <c r="T253" s="273" t="n">
        <f aca="false">IF($R253&gt;$F$168,0.0000000005,K253)</f>
        <v>5E-010</v>
      </c>
      <c r="U253" s="273" t="n">
        <f aca="false">IF($R253&gt;$F$168,0.0000000005,L253)</f>
        <v>5E-010</v>
      </c>
      <c r="V253" s="273" t="n">
        <f aca="false">$X$184/R253</f>
        <v>20.8144709032824</v>
      </c>
    </row>
    <row r="254" customFormat="false" ht="13.2" hidden="false" customHeight="false" outlineLevel="0" collapsed="false">
      <c r="B254" s="0" t="n">
        <f aca="false">D254*F254</f>
        <v>773.333333333333</v>
      </c>
      <c r="D254" s="268" t="n">
        <v>71</v>
      </c>
      <c r="E254" s="273" t="n">
        <f aca="false">(1-$F$271)*F254</f>
        <v>8.16901408450704</v>
      </c>
      <c r="F254" s="273" t="n">
        <f aca="false">($F$175+(D254-VINMAX)*$E$268/$E$269)/D254</f>
        <v>10.8920187793427</v>
      </c>
      <c r="G254" s="273" t="n">
        <f aca="false">F254*(1+$F$271)</f>
        <v>13.6150234741784</v>
      </c>
      <c r="I254" s="268" t="n">
        <v>71</v>
      </c>
      <c r="J254" s="273" t="n">
        <f aca="false">IF(E254&gt;$F$170,$F$170,E254)</f>
        <v>8.16901408450704</v>
      </c>
      <c r="K254" s="273" t="n">
        <f aca="false">IF(F254&gt;$F$171,$F$171,F254)</f>
        <v>10.8920187793427</v>
      </c>
      <c r="L254" s="273" t="n">
        <f aca="false">IF(G254&gt;$F$172,$F$172,G254)</f>
        <v>13.6150234741784</v>
      </c>
      <c r="R254" s="268" t="n">
        <v>71</v>
      </c>
      <c r="S254" s="273" t="n">
        <f aca="false">IF($R254&gt;$F$168,0.0000000005,J254)</f>
        <v>5E-010</v>
      </c>
      <c r="T254" s="273" t="n">
        <f aca="false">IF($R254&gt;$F$168,0.0000000005,K254)</f>
        <v>5E-010</v>
      </c>
      <c r="U254" s="273" t="n">
        <f aca="false">IF($R254&gt;$F$168,0.0000000005,L254)</f>
        <v>5E-010</v>
      </c>
      <c r="V254" s="273" t="n">
        <f aca="false">$X$184/R254</f>
        <v>20.5213093412643</v>
      </c>
    </row>
    <row r="255" customFormat="false" ht="13.2" hidden="false" customHeight="false" outlineLevel="0" collapsed="false">
      <c r="B255" s="0" t="n">
        <f aca="false">D255*F255</f>
        <v>776.666666666667</v>
      </c>
      <c r="D255" s="268" t="n">
        <v>72</v>
      </c>
      <c r="E255" s="273" t="n">
        <f aca="false">(1-$F$271)*F255</f>
        <v>8.09027777777778</v>
      </c>
      <c r="F255" s="273" t="n">
        <f aca="false">($F$175+(D255-VINMAX)*$E$268/$E$269)/D255</f>
        <v>10.787037037037</v>
      </c>
      <c r="G255" s="273" t="n">
        <f aca="false">F255*(1+$F$271)</f>
        <v>13.4837962962963</v>
      </c>
      <c r="I255" s="268" t="n">
        <v>72</v>
      </c>
      <c r="J255" s="273" t="n">
        <f aca="false">IF(E255&gt;$F$170,$F$170,E255)</f>
        <v>8.09027777777778</v>
      </c>
      <c r="K255" s="273" t="n">
        <f aca="false">IF(F255&gt;$F$171,$F$171,F255)</f>
        <v>10.787037037037</v>
      </c>
      <c r="L255" s="273" t="n">
        <f aca="false">IF(G255&gt;$F$172,$F$172,G255)</f>
        <v>13.4837962962963</v>
      </c>
      <c r="R255" s="268" t="n">
        <v>72</v>
      </c>
      <c r="S255" s="273" t="n">
        <f aca="false">IF($R255&gt;$F$168,0.0000000005,J255)</f>
        <v>5E-010</v>
      </c>
      <c r="T255" s="273" t="n">
        <f aca="false">IF($R255&gt;$F$168,0.0000000005,K255)</f>
        <v>5E-010</v>
      </c>
      <c r="U255" s="273" t="n">
        <f aca="false">IF($R255&gt;$F$168,0.0000000005,L255)</f>
        <v>5E-010</v>
      </c>
      <c r="V255" s="273" t="n">
        <f aca="false">$X$184/R255</f>
        <v>20.236291155969</v>
      </c>
    </row>
    <row r="256" customFormat="false" ht="13.2" hidden="false" customHeight="false" outlineLevel="0" collapsed="false">
      <c r="B256" s="0" t="n">
        <f aca="false">D256*F256</f>
        <v>780</v>
      </c>
      <c r="D256" s="268" t="n">
        <v>73</v>
      </c>
      <c r="E256" s="273" t="n">
        <f aca="false">(1-$F$271)*F256</f>
        <v>8.01369863013699</v>
      </c>
      <c r="F256" s="273" t="n">
        <f aca="false">($F$175+(D256-VINMAX)*$E$268/$E$269)/D256</f>
        <v>10.6849315068493</v>
      </c>
      <c r="G256" s="273" t="n">
        <f aca="false">F256*(1+$F$271)</f>
        <v>13.3561643835616</v>
      </c>
      <c r="I256" s="268" t="n">
        <v>73</v>
      </c>
      <c r="J256" s="273" t="n">
        <f aca="false">IF(E256&gt;$F$170,$F$170,E256)</f>
        <v>8.01369863013699</v>
      </c>
      <c r="K256" s="273" t="n">
        <f aca="false">IF(F256&gt;$F$171,$F$171,F256)</f>
        <v>10.6849315068493</v>
      </c>
      <c r="L256" s="273" t="n">
        <f aca="false">IF(G256&gt;$F$172,$F$172,G256)</f>
        <v>13.3561643835616</v>
      </c>
      <c r="R256" s="268" t="n">
        <v>73</v>
      </c>
      <c r="S256" s="273" t="n">
        <f aca="false">IF($R256&gt;$F$168,0.0000000005,J256)</f>
        <v>5E-010</v>
      </c>
      <c r="T256" s="273" t="n">
        <f aca="false">IF($R256&gt;$F$168,0.0000000005,K256)</f>
        <v>5E-010</v>
      </c>
      <c r="U256" s="273" t="n">
        <f aca="false">IF($R256&gt;$F$168,0.0000000005,L256)</f>
        <v>5E-010</v>
      </c>
      <c r="V256" s="273" t="n">
        <f aca="false">$X$184/R256</f>
        <v>19.959081688079</v>
      </c>
    </row>
    <row r="257" customFormat="false" ht="13.2" hidden="false" customHeight="false" outlineLevel="0" collapsed="false">
      <c r="B257" s="0" t="n">
        <f aca="false">D257*F257</f>
        <v>783.333333333333</v>
      </c>
      <c r="D257" s="268" t="n">
        <v>74</v>
      </c>
      <c r="E257" s="273" t="n">
        <f aca="false">(1-$F$271)*F257</f>
        <v>7.93918918918919</v>
      </c>
      <c r="F257" s="273" t="n">
        <f aca="false">($F$175+(D257-VINMAX)*$E$268/$E$269)/D257</f>
        <v>10.5855855855856</v>
      </c>
      <c r="G257" s="273" t="n">
        <f aca="false">F257*(1+$F$271)</f>
        <v>13.231981981982</v>
      </c>
      <c r="I257" s="268" t="n">
        <v>74</v>
      </c>
      <c r="J257" s="273" t="n">
        <f aca="false">IF(E257&gt;$F$170,$F$170,E257)</f>
        <v>7.93918918918919</v>
      </c>
      <c r="K257" s="273" t="n">
        <f aca="false">IF(F257&gt;$F$171,$F$171,F257)</f>
        <v>10.5855855855856</v>
      </c>
      <c r="L257" s="273" t="n">
        <f aca="false">IF(G257&gt;$F$172,$F$172,G257)</f>
        <v>13.231981981982</v>
      </c>
      <c r="R257" s="268" t="n">
        <v>74</v>
      </c>
      <c r="S257" s="273" t="n">
        <f aca="false">IF($R257&gt;$F$168,0.0000000005,J257)</f>
        <v>5E-010</v>
      </c>
      <c r="T257" s="273" t="n">
        <f aca="false">IF($R257&gt;$F$168,0.0000000005,K257)</f>
        <v>5E-010</v>
      </c>
      <c r="U257" s="273" t="n">
        <f aca="false">IF($R257&gt;$F$168,0.0000000005,L257)</f>
        <v>5E-010</v>
      </c>
      <c r="V257" s="273" t="n">
        <f aca="false">$X$184/R257</f>
        <v>19.6893643679698</v>
      </c>
    </row>
    <row r="258" customFormat="false" ht="13.2" hidden="false" customHeight="false" outlineLevel="0" collapsed="false">
      <c r="B258" s="0" t="n">
        <f aca="false">D258*F258</f>
        <v>786.666666666667</v>
      </c>
      <c r="D258" s="268" t="n">
        <v>75</v>
      </c>
      <c r="E258" s="273" t="n">
        <f aca="false">(1-$F$271)*F258</f>
        <v>7.86666666666667</v>
      </c>
      <c r="F258" s="273" t="n">
        <f aca="false">($F$175+(D258-VINMAX)*$E$268/$E$269)/D258</f>
        <v>10.4888888888889</v>
      </c>
      <c r="G258" s="273" t="n">
        <f aca="false">F258*(1+$F$271)</f>
        <v>13.1111111111111</v>
      </c>
      <c r="I258" s="268" t="n">
        <v>75</v>
      </c>
      <c r="J258" s="273" t="n">
        <f aca="false">IF(E258&gt;$F$170,$F$170,E258)</f>
        <v>7.86666666666667</v>
      </c>
      <c r="K258" s="273" t="n">
        <f aca="false">IF(F258&gt;$F$171,$F$171,F258)</f>
        <v>10.4888888888889</v>
      </c>
      <c r="L258" s="273" t="n">
        <f aca="false">IF(G258&gt;$F$172,$F$172,G258)</f>
        <v>13.1111111111111</v>
      </c>
      <c r="R258" s="268" t="n">
        <v>75</v>
      </c>
      <c r="S258" s="273" t="n">
        <f aca="false">IF($R258&gt;$F$168,0.0000000005,J258)</f>
        <v>5E-010</v>
      </c>
      <c r="T258" s="273" t="n">
        <f aca="false">IF($R258&gt;$F$168,0.0000000005,K258)</f>
        <v>5E-010</v>
      </c>
      <c r="U258" s="273" t="n">
        <f aca="false">IF($R258&gt;$F$168,0.0000000005,L258)</f>
        <v>5E-010</v>
      </c>
      <c r="V258" s="273" t="n">
        <f aca="false">$X$184/R258</f>
        <v>19.4268395097302</v>
      </c>
    </row>
    <row r="259" customFormat="false" ht="13.2" hidden="false" customHeight="false" outlineLevel="0" collapsed="false">
      <c r="B259" s="0" t="n">
        <f aca="false">D259*F259</f>
        <v>790</v>
      </c>
      <c r="D259" s="268" t="n">
        <v>76</v>
      </c>
      <c r="E259" s="273" t="n">
        <f aca="false">(1-$F$271)*F259</f>
        <v>7.79605263157895</v>
      </c>
      <c r="F259" s="273" t="n">
        <f aca="false">($F$175+(D259-VINMAX)*$E$268/$E$269)/D259</f>
        <v>10.3947368421053</v>
      </c>
      <c r="G259" s="273" t="n">
        <f aca="false">F259*(1+$F$271)</f>
        <v>12.9934210526316</v>
      </c>
      <c r="I259" s="268" t="n">
        <v>76</v>
      </c>
      <c r="J259" s="273" t="n">
        <f aca="false">IF(E259&gt;$F$170,$F$170,E259)</f>
        <v>7.79605263157895</v>
      </c>
      <c r="K259" s="273" t="n">
        <f aca="false">IF(F259&gt;$F$171,$F$171,F259)</f>
        <v>10.3947368421053</v>
      </c>
      <c r="L259" s="273" t="n">
        <f aca="false">IF(G259&gt;$F$172,$F$172,G259)</f>
        <v>12.9934210526316</v>
      </c>
      <c r="R259" s="268" t="n">
        <v>76</v>
      </c>
      <c r="S259" s="273" t="n">
        <f aca="false">IF($R259&gt;$F$168,0.0000000005,J259)</f>
        <v>5E-010</v>
      </c>
      <c r="T259" s="273" t="n">
        <f aca="false">IF($R259&gt;$F$168,0.0000000005,K259)</f>
        <v>5E-010</v>
      </c>
      <c r="U259" s="273" t="n">
        <f aca="false">IF($R259&gt;$F$168,0.0000000005,L259)</f>
        <v>5E-010</v>
      </c>
      <c r="V259" s="273" t="n">
        <f aca="false">$X$184/R259</f>
        <v>19.1712232003917</v>
      </c>
    </row>
    <row r="260" customFormat="false" ht="13.2" hidden="false" customHeight="false" outlineLevel="0" collapsed="false">
      <c r="B260" s="0" t="n">
        <f aca="false">D260*F260</f>
        <v>793.333333333333</v>
      </c>
      <c r="D260" s="268" t="n">
        <v>77</v>
      </c>
      <c r="E260" s="273" t="n">
        <f aca="false">(1-$F$271)*F260</f>
        <v>7.72727272727273</v>
      </c>
      <c r="F260" s="273" t="n">
        <f aca="false">($F$175+(D260-VINMAX)*$E$268/$E$269)/D260</f>
        <v>10.3030303030303</v>
      </c>
      <c r="G260" s="273" t="n">
        <f aca="false">F260*(1+$F$271)</f>
        <v>12.8787878787879</v>
      </c>
      <c r="I260" s="268" t="n">
        <v>77</v>
      </c>
      <c r="J260" s="273" t="n">
        <f aca="false">IF(E260&gt;$F$170,$F$170,E260)</f>
        <v>7.72727272727273</v>
      </c>
      <c r="K260" s="273" t="n">
        <f aca="false">IF(F260&gt;$F$171,$F$171,F260)</f>
        <v>10.3030303030303</v>
      </c>
      <c r="L260" s="273" t="n">
        <f aca="false">IF(G260&gt;$F$172,$F$172,G260)</f>
        <v>12.8787878787879</v>
      </c>
      <c r="R260" s="268" t="n">
        <v>77</v>
      </c>
      <c r="S260" s="273" t="n">
        <f aca="false">IF($R260&gt;$F$168,0.0000000005,J260)</f>
        <v>5E-010</v>
      </c>
      <c r="T260" s="273" t="n">
        <f aca="false">IF($R260&gt;$F$168,0.0000000005,K260)</f>
        <v>5E-010</v>
      </c>
      <c r="U260" s="273" t="n">
        <f aca="false">IF($R260&gt;$F$168,0.0000000005,L260)</f>
        <v>5E-010</v>
      </c>
      <c r="V260" s="273" t="n">
        <f aca="false">$X$184/R260</f>
        <v>18.9222462757113</v>
      </c>
    </row>
    <row r="261" customFormat="false" ht="13.2" hidden="false" customHeight="false" outlineLevel="0" collapsed="false">
      <c r="B261" s="0" t="n">
        <f aca="false">D261*F261</f>
        <v>796.666666666667</v>
      </c>
      <c r="D261" s="268" t="n">
        <v>78</v>
      </c>
      <c r="E261" s="273" t="n">
        <f aca="false">(1-$F$271)*F261</f>
        <v>7.66025641025641</v>
      </c>
      <c r="F261" s="273" t="n">
        <f aca="false">($F$175+(D261-VINMAX)*$E$268/$E$269)/D261</f>
        <v>10.2136752136752</v>
      </c>
      <c r="G261" s="273" t="n">
        <f aca="false">F261*(1+$F$271)</f>
        <v>12.767094017094</v>
      </c>
      <c r="I261" s="268" t="n">
        <v>78</v>
      </c>
      <c r="J261" s="273" t="n">
        <f aca="false">IF(E261&gt;$F$170,$F$170,E261)</f>
        <v>7.66025641025641</v>
      </c>
      <c r="K261" s="273" t="n">
        <f aca="false">IF(F261&gt;$F$171,$F$171,F261)</f>
        <v>10.2136752136752</v>
      </c>
      <c r="L261" s="273" t="n">
        <f aca="false">IF(G261&gt;$F$172,$F$172,G261)</f>
        <v>12.767094017094</v>
      </c>
      <c r="R261" s="270" t="n">
        <v>78</v>
      </c>
      <c r="S261" s="273" t="n">
        <f aca="false">IF($R261&gt;$F$168,0.0000000005,J261)</f>
        <v>5E-010</v>
      </c>
      <c r="T261" s="273" t="n">
        <f aca="false">IF($R261&gt;$F$168,0.0000000005,K261)</f>
        <v>5E-010</v>
      </c>
      <c r="U261" s="273" t="n">
        <f aca="false">IF($R261&gt;$F$168,0.0000000005,L261)</f>
        <v>5E-010</v>
      </c>
      <c r="V261" s="273" t="n">
        <f aca="false">$X$184/R261</f>
        <v>18.6796533747406</v>
      </c>
    </row>
    <row r="262" customFormat="false" ht="13.2" hidden="false" customHeight="false" outlineLevel="0" collapsed="false">
      <c r="B262" s="0" t="n">
        <f aca="false">D262*F262</f>
        <v>800</v>
      </c>
      <c r="D262" s="268" t="n">
        <v>79</v>
      </c>
      <c r="E262" s="273" t="n">
        <f aca="false">(1-$F$271)*F262</f>
        <v>7.59493670886076</v>
      </c>
      <c r="F262" s="273" t="n">
        <f aca="false">($F$175+(D262-VINMAX)*$E$268/$E$269)/D262</f>
        <v>10.126582278481</v>
      </c>
      <c r="G262" s="273" t="n">
        <f aca="false">F262*(1+$F$271)</f>
        <v>12.6582278481013</v>
      </c>
      <c r="I262" s="268" t="n">
        <v>79</v>
      </c>
      <c r="J262" s="273" t="n">
        <f aca="false">IF(E262&gt;$F$170,$F$170,E262)</f>
        <v>7.59493670886076</v>
      </c>
      <c r="K262" s="273" t="n">
        <f aca="false">IF(F262&gt;$F$171,$F$171,F262)</f>
        <v>10.126582278481</v>
      </c>
      <c r="L262" s="273" t="n">
        <f aca="false">IF(G262&gt;$F$172,$F$172,G262)</f>
        <v>12.6582278481013</v>
      </c>
      <c r="R262" s="270" t="n">
        <v>79</v>
      </c>
      <c r="S262" s="273" t="n">
        <f aca="false">IF($R262&gt;$F$168,0.0000000005,J262)</f>
        <v>5E-010</v>
      </c>
      <c r="T262" s="273" t="n">
        <f aca="false">IF($R262&gt;$F$168,0.0000000005,K262)</f>
        <v>5E-010</v>
      </c>
      <c r="U262" s="273" t="n">
        <f aca="false">IF($R262&gt;$F$168,0.0000000005,L262)</f>
        <v>5E-010</v>
      </c>
      <c r="V262" s="273" t="n">
        <f aca="false">$X$184/R262</f>
        <v>18.4432020661996</v>
      </c>
    </row>
    <row r="263" customFormat="false" ht="13.2" hidden="false" customHeight="false" outlineLevel="0" collapsed="false">
      <c r="B263" s="0" t="n">
        <f aca="false">D263*F263</f>
        <v>803.333333333333</v>
      </c>
      <c r="D263" s="268" t="n">
        <v>80</v>
      </c>
      <c r="E263" s="273" t="n">
        <f aca="false">(1-$F$271)*F263</f>
        <v>7.53125</v>
      </c>
      <c r="F263" s="273" t="n">
        <f aca="false">($F$175+(D263-VINMAX)*$E$268/$E$269)/D263</f>
        <v>10.0416666666667</v>
      </c>
      <c r="G263" s="273" t="n">
        <f aca="false">F263*(1+$F$271)</f>
        <v>12.5520833333333</v>
      </c>
      <c r="I263" s="268" t="n">
        <v>80</v>
      </c>
      <c r="J263" s="273" t="n">
        <f aca="false">IF(E263&gt;$F$170,$F$170,E263)</f>
        <v>7.53125</v>
      </c>
      <c r="K263" s="273" t="n">
        <f aca="false">IF(F263&gt;$F$171,$F$171,F263)</f>
        <v>10.0416666666667</v>
      </c>
      <c r="L263" s="273" t="n">
        <f aca="false">IF(G263&gt;$F$172,$F$172,G263)</f>
        <v>12.5520833333333</v>
      </c>
      <c r="R263" s="270" t="n">
        <v>80</v>
      </c>
      <c r="S263" s="273" t="n">
        <f aca="false">IF($R263&gt;$F$168,0.0000000005,J263)</f>
        <v>5E-010</v>
      </c>
      <c r="T263" s="273" t="n">
        <f aca="false">IF($R263&gt;$F$168,0.0000000005,K263)</f>
        <v>5E-010</v>
      </c>
      <c r="U263" s="273" t="n">
        <f aca="false">IF($R263&gt;$F$168,0.0000000005,L263)</f>
        <v>5E-010</v>
      </c>
      <c r="V263" s="273" t="n">
        <f aca="false">$X$184/R263</f>
        <v>18.2126620403721</v>
      </c>
    </row>
    <row r="264" customFormat="false" ht="13.2" hidden="false" customHeight="false" outlineLevel="0" collapsed="false">
      <c r="D264" s="277"/>
      <c r="E264" s="278"/>
      <c r="F264" s="278"/>
      <c r="G264" s="278"/>
      <c r="I264" s="277"/>
      <c r="J264" s="278"/>
      <c r="K264" s="278"/>
      <c r="L264" s="278"/>
    </row>
    <row r="266" customFormat="false" ht="13.2" hidden="false" customHeight="false" outlineLevel="0" collapsed="false">
      <c r="D266" s="53" t="s">
        <v>397</v>
      </c>
    </row>
    <row r="268" customFormat="false" ht="13.2" hidden="false" customHeight="false" outlineLevel="0" collapsed="false">
      <c r="D268" s="53" t="s">
        <v>398</v>
      </c>
      <c r="E268" s="0" t="n">
        <f aca="false">'Device Parameters'!E12</f>
        <v>0.001</v>
      </c>
    </row>
    <row r="269" customFormat="false" ht="13.2" hidden="false" customHeight="false" outlineLevel="0" collapsed="false">
      <c r="D269" s="53" t="s">
        <v>399</v>
      </c>
      <c r="E269" s="0" t="n">
        <f aca="false">RsEFF*0.001</f>
        <v>0.0003</v>
      </c>
    </row>
    <row r="270" customFormat="false" ht="13.2" hidden="false" customHeight="false" outlineLevel="0" collapsed="false">
      <c r="D270" s="53" t="s">
        <v>400</v>
      </c>
      <c r="E270" s="0" t="n">
        <f aca="false">VINMAX</f>
        <v>50</v>
      </c>
    </row>
    <row r="271" customFormat="false" ht="13.2" hidden="false" customHeight="false" outlineLevel="0" collapsed="false">
      <c r="D271" s="53" t="s">
        <v>401</v>
      </c>
      <c r="E271" s="23"/>
      <c r="F271" s="0" t="n">
        <v>0.25</v>
      </c>
    </row>
    <row r="273" customFormat="false" ht="13.2" hidden="false" customHeight="false" outlineLevel="0" collapsed="false">
      <c r="D273" s="228" t="s">
        <v>402</v>
      </c>
    </row>
  </sheetData>
  <mergeCells count="3">
    <mergeCell ref="D43:G43"/>
    <mergeCell ref="D51:G51"/>
    <mergeCell ref="D65:H65"/>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sheetPr filterMode="false">
    <pageSetUpPr fitToPage="false"/>
  </sheetPr>
  <dimension ref="A1:Y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7" activeCellId="0" sqref="N7"/>
    </sheetView>
  </sheetViews>
  <sheetFormatPr defaultRowHeight="13.2" zeroHeight="false" outlineLevelRow="0" outlineLevelCol="0"/>
  <cols>
    <col collapsed="false" customWidth="true" hidden="false" outlineLevel="0" max="1" min="1" style="279" width="10.99"/>
    <col collapsed="false" customWidth="true" hidden="false" outlineLevel="0" max="3" min="2" style="279" width="9.21"/>
    <col collapsed="false" customWidth="true" hidden="false" outlineLevel="0" max="5" min="4" style="279" width="15"/>
    <col collapsed="false" customWidth="true" hidden="false" outlineLevel="0" max="6" min="6" style="279" width="15.44"/>
    <col collapsed="false" customWidth="true" hidden="false" outlineLevel="0" max="7" min="7" style="279" width="14.78"/>
    <col collapsed="false" customWidth="true" hidden="false" outlineLevel="0" max="8" min="8" style="279" width="10.77"/>
    <col collapsed="false" customWidth="true" hidden="false" outlineLevel="0" max="9" min="9" style="279" width="12.44"/>
    <col collapsed="false" customWidth="true" hidden="false" outlineLevel="0" max="10" min="10" style="279" width="14.78"/>
    <col collapsed="false" customWidth="true" hidden="false" outlineLevel="0" max="11" min="11" style="279" width="12.78"/>
    <col collapsed="false" customWidth="true" hidden="false" outlineLevel="0" max="12" min="12" style="279" width="14.22"/>
    <col collapsed="false" customWidth="true" hidden="false" outlineLevel="0" max="13" min="13" style="279" width="20.78"/>
    <col collapsed="false" customWidth="true" hidden="false" outlineLevel="0" max="14" min="14" style="279" width="12.78"/>
    <col collapsed="false" customWidth="true" hidden="false" outlineLevel="0" max="15" min="15" style="279" width="10.22"/>
    <col collapsed="false" customWidth="true" hidden="false" outlineLevel="0" max="16" min="16" style="279" width="18.77"/>
    <col collapsed="false" customWidth="true" hidden="false" outlineLevel="0" max="17" min="17" style="279" width="10.77"/>
    <col collapsed="false" customWidth="true" hidden="false" outlineLevel="0" max="1025" min="18" style="279" width="9.21"/>
  </cols>
  <sheetData>
    <row r="1" customFormat="false" ht="13.2" hidden="false" customHeight="false" outlineLevel="0" collapsed="false">
      <c r="B1" s="279" t="s">
        <v>388</v>
      </c>
      <c r="C1" s="279" t="s">
        <v>403</v>
      </c>
      <c r="D1" s="279" t="s">
        <v>404</v>
      </c>
      <c r="F1" s="280" t="s">
        <v>405</v>
      </c>
      <c r="G1" s="280" t="s">
        <v>406</v>
      </c>
      <c r="H1" s="280" t="s">
        <v>407</v>
      </c>
      <c r="I1" s="280" t="s">
        <v>408</v>
      </c>
      <c r="J1" s="280" t="s">
        <v>409</v>
      </c>
      <c r="K1" s="280"/>
      <c r="L1" s="280"/>
      <c r="M1" s="280" t="s">
        <v>410</v>
      </c>
      <c r="N1" s="280"/>
      <c r="O1" s="280" t="s">
        <v>411</v>
      </c>
      <c r="Q1" s="279" t="s">
        <v>412</v>
      </c>
      <c r="R1" s="279" t="s">
        <v>413</v>
      </c>
    </row>
    <row r="2" customFormat="false" ht="13.2" hidden="false" customHeight="false" outlineLevel="0" collapsed="false">
      <c r="B2" s="281" t="n">
        <f aca="false">'Design Calculator'!F69</f>
        <v>703.333333333333</v>
      </c>
      <c r="C2" s="279" t="n">
        <f aca="false">'Design Calculator'!F48</f>
        <v>86.6666666666667</v>
      </c>
      <c r="D2" s="279" t="str">
        <f aca="false">IF( 'Design Calculator'!F71 = "Constant Current", "CC", "R")</f>
        <v>CC</v>
      </c>
      <c r="F2" s="279" t="str">
        <f aca="false">'Design Calculator'!F73</f>
        <v>Yes</v>
      </c>
      <c r="G2" s="279" t="n">
        <f aca="false">'Design Calculator'!F72</f>
        <v>0</v>
      </c>
      <c r="H2" s="279" t="n">
        <f aca="false">'Design Calculator'!F70</f>
        <v>0</v>
      </c>
      <c r="I2" s="279" t="n">
        <f aca="false">RsEFF</f>
        <v>0.3</v>
      </c>
      <c r="J2" s="279" t="n">
        <f aca="false">'Device Parameters'!E12</f>
        <v>0.001</v>
      </c>
      <c r="M2" s="281" t="n">
        <f aca="false">J114*1000</f>
        <v>32.5</v>
      </c>
      <c r="N2" s="279" t="s">
        <v>108</v>
      </c>
      <c r="O2" s="282" t="n">
        <f aca="false">MIN(L10:L111)</f>
        <v>1</v>
      </c>
      <c r="Q2" s="279" t="n">
        <f aca="false">'Device Parameters'!E30/'Device Parameters'!D30</f>
        <v>2</v>
      </c>
      <c r="R2" s="279" t="n">
        <f aca="false">'Device Parameters'!C30/'Device Parameters'!D30</f>
        <v>0.375</v>
      </c>
    </row>
    <row r="3" customFormat="false" ht="13.2" hidden="false" customHeight="false" outlineLevel="0" collapsed="false">
      <c r="B3" s="281"/>
      <c r="M3" s="281"/>
      <c r="O3" s="282"/>
    </row>
    <row r="4" customFormat="false" ht="13.2" hidden="false" customHeight="false" outlineLevel="0" collapsed="false">
      <c r="B4" s="281"/>
      <c r="D4" s="279" t="s">
        <v>414</v>
      </c>
      <c r="M4" s="281" t="s">
        <v>415</v>
      </c>
      <c r="N4" s="279" t="n">
        <f aca="false">MIN(M10:M114)</f>
        <v>1.75833333333333</v>
      </c>
      <c r="O4" s="282" t="s">
        <v>118</v>
      </c>
      <c r="P4" s="279" t="s">
        <v>416</v>
      </c>
      <c r="Q4" s="279" t="n">
        <f aca="false">MAX(O10:O114)</f>
        <v>307.692307692308</v>
      </c>
      <c r="R4" s="279" t="s">
        <v>59</v>
      </c>
    </row>
    <row r="5" customFormat="false" ht="13.2" hidden="false" customHeight="false" outlineLevel="0" collapsed="false">
      <c r="B5" s="281"/>
      <c r="M5" s="279" t="s">
        <v>417</v>
      </c>
      <c r="N5" s="279" t="n">
        <f aca="false">SUM(N10:N114)</f>
        <v>4.95192307692308</v>
      </c>
      <c r="O5" s="282" t="s">
        <v>318</v>
      </c>
      <c r="P5" s="279" t="s">
        <v>418</v>
      </c>
      <c r="Q5" s="279" t="n">
        <f aca="false">MAX(P10:P114)</f>
        <v>615.384615384616</v>
      </c>
      <c r="R5" s="279" t="s">
        <v>59</v>
      </c>
    </row>
    <row r="6" customFormat="false" ht="13.2" hidden="false" customHeight="false" outlineLevel="0" collapsed="false">
      <c r="P6" s="279" t="s">
        <v>419</v>
      </c>
      <c r="Q6" s="279" t="n">
        <f aca="false">MAX(Q10:Q114)</f>
        <v>115.384615384615</v>
      </c>
      <c r="R6" s="279" t="s">
        <v>59</v>
      </c>
    </row>
    <row r="7" customFormat="false" ht="13.2" hidden="false" customHeight="false" outlineLevel="0" collapsed="false">
      <c r="A7" s="283" t="s">
        <v>420</v>
      </c>
      <c r="B7" s="284" t="s">
        <v>421</v>
      </c>
      <c r="C7" s="284" t="s">
        <v>422</v>
      </c>
      <c r="D7" s="284" t="s">
        <v>388</v>
      </c>
      <c r="E7" s="284" t="s">
        <v>423</v>
      </c>
      <c r="F7" s="284" t="s">
        <v>424</v>
      </c>
      <c r="G7" s="284" t="s">
        <v>425</v>
      </c>
      <c r="H7" s="284" t="s">
        <v>426</v>
      </c>
      <c r="I7" s="285" t="s">
        <v>427</v>
      </c>
      <c r="J7" s="286" t="s">
        <v>428</v>
      </c>
      <c r="K7" s="286" t="s">
        <v>429</v>
      </c>
      <c r="L7" s="283" t="s">
        <v>430</v>
      </c>
      <c r="M7" s="283" t="s">
        <v>431</v>
      </c>
      <c r="N7" s="283" t="s">
        <v>432</v>
      </c>
      <c r="O7" s="283" t="s">
        <v>433</v>
      </c>
      <c r="P7" s="279" t="s">
        <v>434</v>
      </c>
      <c r="Q7" s="279" t="s">
        <v>435</v>
      </c>
    </row>
    <row r="8" customFormat="false" ht="13.2" hidden="false" customHeight="false" outlineLevel="0" collapsed="false">
      <c r="A8" s="283"/>
      <c r="B8" s="284"/>
      <c r="C8" s="284"/>
      <c r="D8" s="284"/>
      <c r="E8" s="284"/>
      <c r="F8" s="284"/>
      <c r="G8" s="284"/>
      <c r="H8" s="284"/>
      <c r="I8" s="284"/>
      <c r="J8" s="286"/>
      <c r="K8" s="287" t="n">
        <v>-1</v>
      </c>
      <c r="L8" s="283"/>
      <c r="M8" s="283"/>
      <c r="N8" s="283"/>
      <c r="O8" s="279" t="n">
        <v>0</v>
      </c>
    </row>
    <row r="9" customFormat="false" ht="13.2" hidden="false" customHeight="false" outlineLevel="0" collapsed="false">
      <c r="A9" s="283"/>
      <c r="B9" s="284"/>
      <c r="C9" s="284"/>
      <c r="D9" s="284"/>
      <c r="E9" s="284"/>
      <c r="F9" s="284"/>
      <c r="G9" s="284"/>
      <c r="H9" s="284"/>
      <c r="I9" s="284"/>
      <c r="J9" s="286"/>
      <c r="K9" s="288" t="n">
        <v>-0.01</v>
      </c>
      <c r="L9" s="283"/>
      <c r="M9" s="283"/>
      <c r="N9" s="283"/>
      <c r="O9" s="279" t="n">
        <v>0</v>
      </c>
    </row>
    <row r="10" customFormat="false" ht="13.2" hidden="false" customHeight="false" outlineLevel="0" collapsed="false">
      <c r="A10" s="279" t="n">
        <f aca="false">VINMAX</f>
        <v>50</v>
      </c>
      <c r="B10" s="289" t="n">
        <f aca="false">VINMAX*((ROW()-10)/104)</f>
        <v>0</v>
      </c>
      <c r="C10" s="290" t="n">
        <f aca="false">IF(B10&gt;=$H$2,IF($D$2="CC", $G$2, B10/$G$2), 0)</f>
        <v>0</v>
      </c>
      <c r="D10" s="291" t="n">
        <f aca="false">B2</f>
        <v>703.333333333333</v>
      </c>
      <c r="E10" s="292" t="n">
        <f aca="false">MIN(D10/(A10-B10),$C$2)</f>
        <v>14.0666666666667</v>
      </c>
      <c r="F10" s="290" t="n">
        <f aca="false">I_Cout_ss+C10</f>
        <v>6.15384615384615</v>
      </c>
      <c r="G10" s="292" t="n">
        <f aca="false">IF($F$2="YES", F10, E10)</f>
        <v>6.15384615384615</v>
      </c>
      <c r="H10" s="290" t="n">
        <f aca="false">G10-C10</f>
        <v>6.15384615384615</v>
      </c>
      <c r="I10" s="293" t="n">
        <f aca="false">(COUTMAX/1000000)*(B10)/H10</f>
        <v>0</v>
      </c>
      <c r="J10" s="294" t="n">
        <f aca="false">I10</f>
        <v>0</v>
      </c>
      <c r="K10" s="287" t="n">
        <f aca="false">J10*1000</f>
        <v>0</v>
      </c>
      <c r="L10" s="282" t="n">
        <f aca="false">H10/G10</f>
        <v>1</v>
      </c>
      <c r="M10" s="279" t="n">
        <f aca="false">1/COUTMAX*(E10/2-C10)*1000</f>
        <v>1.75833333333333</v>
      </c>
      <c r="N10" s="279" t="n">
        <f aca="false">I10*G10*(A10-B10)</f>
        <v>0</v>
      </c>
      <c r="O10" s="279" t="n">
        <f aca="false">G10*(A10-B10)</f>
        <v>307.692307692308</v>
      </c>
      <c r="P10" s="279" t="n">
        <f aca="false">(A10-B10)*(I_Cout_ss*$Q$2+C10)</f>
        <v>615.384615384616</v>
      </c>
      <c r="Q10" s="279" t="n">
        <f aca="false">(A10-B10)*(I_Cout_ss*$R$2+C10)</f>
        <v>115.384615384615</v>
      </c>
    </row>
    <row r="11" customFormat="false" ht="13.2" hidden="false" customHeight="false" outlineLevel="0" collapsed="false">
      <c r="A11" s="279" t="n">
        <f aca="false">VINMAX</f>
        <v>50</v>
      </c>
      <c r="B11" s="289" t="n">
        <f aca="false">VINMAX*((ROW()-10)/104)</f>
        <v>0.480769230769231</v>
      </c>
      <c r="C11" s="290" t="n">
        <f aca="false">IF(B11&gt;=$H$2,IF($D$2="CC", $G$2, B11/$G$2), 0)</f>
        <v>0</v>
      </c>
      <c r="D11" s="291" t="n">
        <f aca="false">B2</f>
        <v>703.333333333333</v>
      </c>
      <c r="E11" s="292" t="n">
        <f aca="false">MIN(D11/(A11-B11),$C$2)</f>
        <v>14.2032362459547</v>
      </c>
      <c r="F11" s="290" t="n">
        <f aca="false">I_Cout_ss+C11</f>
        <v>6.15384615384615</v>
      </c>
      <c r="G11" s="292" t="n">
        <f aca="false">IF($F$2="YES", F11, E11)</f>
        <v>6.15384615384615</v>
      </c>
      <c r="H11" s="290" t="n">
        <f aca="false">G11-C11</f>
        <v>6.15384615384615</v>
      </c>
      <c r="I11" s="293" t="n">
        <f aca="false">(COUTMAX/1000000)*(B11-B10)/H11</f>
        <v>0.0003125</v>
      </c>
      <c r="J11" s="294" t="n">
        <f aca="false">J10+I11</f>
        <v>0.0003125</v>
      </c>
      <c r="K11" s="287" t="n">
        <f aca="false">J11*1000</f>
        <v>0.3125</v>
      </c>
      <c r="L11" s="282" t="n">
        <f aca="false">H11/G11</f>
        <v>1</v>
      </c>
      <c r="M11" s="279" t="n">
        <f aca="false">1/COUTMAX*(E11/2-C11)*1000</f>
        <v>1.77540453074434</v>
      </c>
      <c r="N11" s="279" t="n">
        <f aca="false">I11*G11*(A11-B11)</f>
        <v>0.0952292899408284</v>
      </c>
      <c r="O11" s="279" t="n">
        <f aca="false">G11*(A11-B11)</f>
        <v>304.733727810651</v>
      </c>
      <c r="P11" s="279" t="n">
        <f aca="false">(A11-B11)*(I_Cout_ss*$Q$2+C11)</f>
        <v>609.467455621302</v>
      </c>
      <c r="Q11" s="279" t="n">
        <f aca="false">(A11-B11)*(I_Cout_ss*$R$2+C11)</f>
        <v>114.275147928994</v>
      </c>
    </row>
    <row r="12" customFormat="false" ht="13.2" hidden="false" customHeight="false" outlineLevel="0" collapsed="false">
      <c r="A12" s="279" t="n">
        <f aca="false">VINMAX</f>
        <v>50</v>
      </c>
      <c r="B12" s="289" t="n">
        <f aca="false">VINMAX*((ROW()-10)/104)</f>
        <v>0.961538461538462</v>
      </c>
      <c r="C12" s="290" t="n">
        <f aca="false">IF(B12&gt;=$H$2,IF($D$2="CC", $G$2, B12/$G$2), 0)</f>
        <v>0</v>
      </c>
      <c r="D12" s="291" t="n">
        <f aca="false">B2</f>
        <v>703.333333333333</v>
      </c>
      <c r="E12" s="292" t="n">
        <f aca="false">MIN(D12/(A12-B12),$C$2)</f>
        <v>14.3424836601307</v>
      </c>
      <c r="F12" s="290" t="n">
        <f aca="false">I_Cout_ss+C12</f>
        <v>6.15384615384615</v>
      </c>
      <c r="G12" s="292" t="n">
        <f aca="false">IF($F$2="YES", F12, E12)</f>
        <v>6.15384615384615</v>
      </c>
      <c r="H12" s="290" t="n">
        <f aca="false">G12-C12</f>
        <v>6.15384615384615</v>
      </c>
      <c r="I12" s="293" t="n">
        <f aca="false">(COUTMAX/1000000)*(B12-B11)/H12</f>
        <v>0.0003125</v>
      </c>
      <c r="J12" s="294" t="n">
        <f aca="false">J11+I12</f>
        <v>0.000625</v>
      </c>
      <c r="K12" s="287" t="n">
        <f aca="false">J12*1000</f>
        <v>0.625</v>
      </c>
      <c r="L12" s="282" t="n">
        <f aca="false">H12/G12</f>
        <v>1</v>
      </c>
      <c r="M12" s="279" t="n">
        <f aca="false">1/COUTMAX*(E12/2-C12)*1000</f>
        <v>1.79281045751634</v>
      </c>
      <c r="N12" s="279" t="n">
        <f aca="false">I12*G12*(A12-B12)</f>
        <v>0.0943047337278107</v>
      </c>
      <c r="O12" s="279" t="n">
        <f aca="false">G12*(A12-B12)</f>
        <v>301.775147928994</v>
      </c>
      <c r="P12" s="279" t="n">
        <f aca="false">(A12-B12)*(I_Cout_ss*$Q$2+C12)</f>
        <v>603.550295857988</v>
      </c>
      <c r="Q12" s="279" t="n">
        <f aca="false">(A12-B12)*(I_Cout_ss*$R$2+C12)</f>
        <v>113.165680473373</v>
      </c>
      <c r="X12" s="295" t="s">
        <v>436</v>
      </c>
      <c r="Y12" s="295"/>
    </row>
    <row r="13" customFormat="false" ht="13.2" hidden="false" customHeight="false" outlineLevel="0" collapsed="false">
      <c r="A13" s="279" t="n">
        <f aca="false">VINMAX</f>
        <v>50</v>
      </c>
      <c r="B13" s="289" t="n">
        <f aca="false">VINMAX*((ROW()-10)/104)</f>
        <v>1.44230769230769</v>
      </c>
      <c r="C13" s="290" t="n">
        <f aca="false">IF(B13&gt;=$H$2,IF($D$2="CC", $G$2, B13/$G$2), 0)</f>
        <v>0</v>
      </c>
      <c r="D13" s="291" t="n">
        <f aca="false">B2</f>
        <v>703.333333333333</v>
      </c>
      <c r="E13" s="292" t="n">
        <f aca="false">MIN(D13/(A13-B13),$C$2)</f>
        <v>14.4844884488449</v>
      </c>
      <c r="F13" s="290" t="n">
        <f aca="false">I_Cout_ss+C13</f>
        <v>6.15384615384615</v>
      </c>
      <c r="G13" s="292" t="n">
        <f aca="false">IF($F$2="YES", F13, E13)</f>
        <v>6.15384615384615</v>
      </c>
      <c r="H13" s="290" t="n">
        <f aca="false">G13-C13</f>
        <v>6.15384615384615</v>
      </c>
      <c r="I13" s="293" t="n">
        <f aca="false">(COUTMAX/1000000)*(B13-B12)/H13</f>
        <v>0.0003125</v>
      </c>
      <c r="J13" s="294" t="n">
        <f aca="false">J12+I13</f>
        <v>0.0009375</v>
      </c>
      <c r="K13" s="287" t="n">
        <f aca="false">J13*1000</f>
        <v>0.9375</v>
      </c>
      <c r="L13" s="282" t="n">
        <f aca="false">H13/G13</f>
        <v>1</v>
      </c>
      <c r="M13" s="279" t="n">
        <f aca="false">1/COUTMAX*(E13/2-C13)*1000</f>
        <v>1.81056105610561</v>
      </c>
      <c r="N13" s="279" t="n">
        <f aca="false">I13*G13*(A13-B13)</f>
        <v>0.0933801775147929</v>
      </c>
      <c r="O13" s="279" t="n">
        <f aca="false">G13*(A13-B13)</f>
        <v>298.816568047337</v>
      </c>
      <c r="P13" s="279" t="n">
        <f aca="false">(A13-B13)*(I_Cout_ss*$Q$2+C13)</f>
        <v>597.633136094675</v>
      </c>
      <c r="Q13" s="279" t="n">
        <f aca="false">(A13-B13)*(I_Cout_ss*$R$2+C13)</f>
        <v>112.056213017751</v>
      </c>
      <c r="X13" s="296" t="s">
        <v>437</v>
      </c>
      <c r="Y13" s="297" t="n">
        <v>0.3</v>
      </c>
    </row>
    <row r="14" customFormat="false" ht="13.2" hidden="false" customHeight="false" outlineLevel="0" collapsed="false">
      <c r="A14" s="279" t="n">
        <f aca="false">VINMAX</f>
        <v>50</v>
      </c>
      <c r="B14" s="289" t="n">
        <f aca="false">VINMAX*((ROW()-10)/104)</f>
        <v>1.92307692307692</v>
      </c>
      <c r="C14" s="290" t="n">
        <f aca="false">IF(B14&gt;=$H$2,IF($D$2="CC", $G$2, B14/$G$2), 0)</f>
        <v>0</v>
      </c>
      <c r="D14" s="291" t="n">
        <f aca="false">B2</f>
        <v>703.333333333333</v>
      </c>
      <c r="E14" s="292" t="n">
        <f aca="false">MIN(D14/(A14-B14),$C$2)</f>
        <v>14.6293333333333</v>
      </c>
      <c r="F14" s="290" t="n">
        <f aca="false">I_Cout_ss+C14</f>
        <v>6.15384615384615</v>
      </c>
      <c r="G14" s="292" t="n">
        <f aca="false">IF($F$2="YES", F14, E14)</f>
        <v>6.15384615384615</v>
      </c>
      <c r="H14" s="290" t="n">
        <f aca="false">G14-C14</f>
        <v>6.15384615384615</v>
      </c>
      <c r="I14" s="293" t="n">
        <f aca="false">(COUTMAX/1000000)*(B14-B13)/H14</f>
        <v>0.0003125</v>
      </c>
      <c r="J14" s="294" t="n">
        <f aca="false">J13+I14</f>
        <v>0.00125</v>
      </c>
      <c r="K14" s="287" t="n">
        <f aca="false">J14*1000</f>
        <v>1.25</v>
      </c>
      <c r="L14" s="282" t="n">
        <f aca="false">H14/G14</f>
        <v>1</v>
      </c>
      <c r="M14" s="279" t="n">
        <f aca="false">1/COUTMAX*(E14/2-C14)*1000</f>
        <v>1.82866666666667</v>
      </c>
      <c r="N14" s="279" t="n">
        <f aca="false">I14*G14*(A14-B14)</f>
        <v>0.0924556213017752</v>
      </c>
      <c r="O14" s="279" t="n">
        <f aca="false">G14*(A14-B14)</f>
        <v>295.857988165681</v>
      </c>
      <c r="P14" s="279" t="n">
        <f aca="false">(A14-B14)*(I_Cout_ss*$Q$2+C14)</f>
        <v>591.715976331361</v>
      </c>
      <c r="Q14" s="279" t="n">
        <f aca="false">(A14-B14)*(I_Cout_ss*$R$2+C14)</f>
        <v>110.94674556213</v>
      </c>
      <c r="X14" s="296" t="s">
        <v>438</v>
      </c>
      <c r="Y14" s="297" t="n">
        <v>0.3</v>
      </c>
    </row>
    <row r="15" customFormat="false" ht="13.2" hidden="false" customHeight="false" outlineLevel="0" collapsed="false">
      <c r="A15" s="279" t="n">
        <f aca="false">VINMAX</f>
        <v>50</v>
      </c>
      <c r="B15" s="289" t="n">
        <f aca="false">VINMAX*((ROW()-10)/104)</f>
        <v>2.40384615384615</v>
      </c>
      <c r="C15" s="290" t="n">
        <f aca="false">IF(B15&gt;=$H$2,IF($D$2="CC", $G$2, B15/$G$2), 0)</f>
        <v>0</v>
      </c>
      <c r="D15" s="291" t="n">
        <f aca="false">B2</f>
        <v>703.333333333333</v>
      </c>
      <c r="E15" s="292" t="n">
        <f aca="false">MIN(D15/(A15-B15),$C$2)</f>
        <v>14.7771043771044</v>
      </c>
      <c r="F15" s="290" t="n">
        <f aca="false">I_Cout_ss+C15</f>
        <v>6.15384615384615</v>
      </c>
      <c r="G15" s="292" t="n">
        <f aca="false">IF($F$2="YES", F15, E15)</f>
        <v>6.15384615384615</v>
      </c>
      <c r="H15" s="290" t="n">
        <f aca="false">G15-C15</f>
        <v>6.15384615384615</v>
      </c>
      <c r="I15" s="293" t="n">
        <f aca="false">(COUTMAX/1000000)*(B15-B14)/H15</f>
        <v>0.0003125</v>
      </c>
      <c r="J15" s="294" t="n">
        <f aca="false">J14+I15</f>
        <v>0.0015625</v>
      </c>
      <c r="K15" s="287" t="n">
        <f aca="false">J15*1000</f>
        <v>1.5625</v>
      </c>
      <c r="L15" s="282" t="n">
        <f aca="false">H15/G15</f>
        <v>1</v>
      </c>
      <c r="M15" s="279" t="n">
        <f aca="false">1/COUTMAX*(E15/2-C15)*1000</f>
        <v>1.84713804713805</v>
      </c>
      <c r="N15" s="279" t="n">
        <f aca="false">I15*G15*(A15-B15)</f>
        <v>0.0915310650887574</v>
      </c>
      <c r="O15" s="279" t="n">
        <f aca="false">G15*(A15-B15)</f>
        <v>292.899408284024</v>
      </c>
      <c r="P15" s="279" t="n">
        <f aca="false">(A15-B15)*(I_Cout_ss*$Q$2+C15)</f>
        <v>585.798816568047</v>
      </c>
      <c r="Q15" s="279" t="n">
        <f aca="false">(A15-B15)*(I_Cout_ss*$R$2+C15)</f>
        <v>109.837278106509</v>
      </c>
      <c r="X15" s="296" t="s">
        <v>439</v>
      </c>
      <c r="Y15" s="297" t="n">
        <f aca="false">SQRT(Y14^2+Y13^2)</f>
        <v>0.424264068711929</v>
      </c>
    </row>
    <row r="16" customFormat="false" ht="13.2" hidden="false" customHeight="false" outlineLevel="0" collapsed="false">
      <c r="A16" s="279" t="n">
        <f aca="false">VINMAX</f>
        <v>50</v>
      </c>
      <c r="B16" s="289" t="n">
        <f aca="false">VINMAX*((ROW()-10)/104)</f>
        <v>2.88461538461538</v>
      </c>
      <c r="C16" s="290" t="n">
        <f aca="false">IF(B16&gt;=$H$2,IF($D$2="CC", $G$2, B16/$G$2), 0)</f>
        <v>0</v>
      </c>
      <c r="D16" s="291" t="n">
        <f aca="false">B2</f>
        <v>703.333333333333</v>
      </c>
      <c r="E16" s="292" t="n">
        <f aca="false">MIN(D16/(A16-B16),$C$2)</f>
        <v>14.9278911564626</v>
      </c>
      <c r="F16" s="290" t="n">
        <f aca="false">I_Cout_ss+C16</f>
        <v>6.15384615384615</v>
      </c>
      <c r="G16" s="292" t="n">
        <f aca="false">IF($F$2="YES", F16, E16)</f>
        <v>6.15384615384615</v>
      </c>
      <c r="H16" s="290" t="n">
        <f aca="false">G16-C16</f>
        <v>6.15384615384615</v>
      </c>
      <c r="I16" s="293" t="n">
        <f aca="false">(COUTMAX/1000000)*(B16-B15)/H16</f>
        <v>0.0003125</v>
      </c>
      <c r="J16" s="294" t="n">
        <f aca="false">J15+I16</f>
        <v>0.001875</v>
      </c>
      <c r="K16" s="287" t="n">
        <f aca="false">J16*1000</f>
        <v>1.875</v>
      </c>
      <c r="L16" s="282" t="n">
        <f aca="false">H16/G16</f>
        <v>1</v>
      </c>
      <c r="M16" s="279" t="n">
        <f aca="false">1/COUTMAX*(E16/2-C16)*1000</f>
        <v>1.86598639455782</v>
      </c>
      <c r="N16" s="279" t="n">
        <f aca="false">I16*G16*(A16-B16)</f>
        <v>0.0906065088757396</v>
      </c>
      <c r="O16" s="279" t="n">
        <f aca="false">G16*(A16-B16)</f>
        <v>289.940828402367</v>
      </c>
      <c r="P16" s="279" t="n">
        <f aca="false">(A16-B16)*(I_Cout_ss*$Q$2+C16)</f>
        <v>579.881656804734</v>
      </c>
      <c r="Q16" s="279" t="n">
        <f aca="false">(A16-B16)*(I_Cout_ss*$R$2+C16)</f>
        <v>108.727810650888</v>
      </c>
      <c r="X16" s="297"/>
      <c r="Y16" s="297"/>
    </row>
    <row r="17" customFormat="false" ht="13.2" hidden="false" customHeight="false" outlineLevel="0" collapsed="false">
      <c r="A17" s="279" t="n">
        <f aca="false">VINMAX</f>
        <v>50</v>
      </c>
      <c r="B17" s="289" t="n">
        <f aca="false">VINMAX*((ROW()-10)/104)</f>
        <v>3.36538461538462</v>
      </c>
      <c r="C17" s="290" t="n">
        <f aca="false">IF(B17&gt;=$H$2,IF($D$2="CC", $G$2, B17/$G$2), 0)</f>
        <v>0</v>
      </c>
      <c r="D17" s="291" t="n">
        <f aca="false">B2</f>
        <v>703.333333333333</v>
      </c>
      <c r="E17" s="292" t="n">
        <f aca="false">MIN(D17/(A17-B17),$C$2)</f>
        <v>15.0817869415808</v>
      </c>
      <c r="F17" s="290" t="n">
        <f aca="false">I_Cout_ss+C17</f>
        <v>6.15384615384615</v>
      </c>
      <c r="G17" s="292" t="n">
        <f aca="false">IF($F$2="YES", F17, E17)</f>
        <v>6.15384615384615</v>
      </c>
      <c r="H17" s="290" t="n">
        <f aca="false">G17-C17</f>
        <v>6.15384615384615</v>
      </c>
      <c r="I17" s="293" t="n">
        <f aca="false">(COUTMAX/1000000)*(B17-B16)/H17</f>
        <v>0.0003125</v>
      </c>
      <c r="J17" s="294" t="n">
        <f aca="false">J16+I17</f>
        <v>0.0021875</v>
      </c>
      <c r="K17" s="287" t="n">
        <f aca="false">J17*1000</f>
        <v>2.1875</v>
      </c>
      <c r="L17" s="282" t="n">
        <f aca="false">H17/G17</f>
        <v>1</v>
      </c>
      <c r="M17" s="279" t="n">
        <f aca="false">1/COUTMAX*(E17/2-C17)*1000</f>
        <v>1.88522336769759</v>
      </c>
      <c r="N17" s="279" t="n">
        <f aca="false">I17*G17*(A17-B17)</f>
        <v>0.0896819526627219</v>
      </c>
      <c r="O17" s="279" t="n">
        <f aca="false">G17*(A17-B17)</f>
        <v>286.98224852071</v>
      </c>
      <c r="P17" s="279" t="n">
        <f aca="false">(A17-B17)*(I_Cout_ss*$Q$2+C17)</f>
        <v>573.96449704142</v>
      </c>
      <c r="Q17" s="279" t="n">
        <f aca="false">(A17-B17)*(I_Cout_ss*$R$2+C17)</f>
        <v>107.618343195266</v>
      </c>
      <c r="X17" s="296" t="s">
        <v>388</v>
      </c>
      <c r="Y17" s="297" t="n">
        <v>0.3</v>
      </c>
    </row>
    <row r="18" customFormat="false" ht="13.2" hidden="false" customHeight="false" outlineLevel="0" collapsed="false">
      <c r="A18" s="279" t="n">
        <f aca="false">VINMAX</f>
        <v>50</v>
      </c>
      <c r="B18" s="289" t="n">
        <f aca="false">VINMAX*((ROW()-10)/104)</f>
        <v>3.84615384615385</v>
      </c>
      <c r="C18" s="290" t="n">
        <f aca="false">IF(B18&gt;=$H$2,IF($D$2="CC", $G$2, B18/$G$2), 0)</f>
        <v>0</v>
      </c>
      <c r="D18" s="291" t="n">
        <f aca="false">B2</f>
        <v>703.333333333333</v>
      </c>
      <c r="E18" s="292" t="n">
        <f aca="false">MIN(D18/(A18-B18),$C$2)</f>
        <v>15.2388888888889</v>
      </c>
      <c r="F18" s="290" t="n">
        <f aca="false">I_Cout_ss+C18</f>
        <v>6.15384615384615</v>
      </c>
      <c r="G18" s="292" t="n">
        <f aca="false">IF($F$2="YES", F18, E18)</f>
        <v>6.15384615384615</v>
      </c>
      <c r="H18" s="290" t="n">
        <f aca="false">G18-C18</f>
        <v>6.15384615384615</v>
      </c>
      <c r="I18" s="293" t="n">
        <f aca="false">(COUTMAX/1000000)*(B18-B17)/H18</f>
        <v>0.0003125</v>
      </c>
      <c r="J18" s="294" t="n">
        <f aca="false">J17+I18</f>
        <v>0.0025</v>
      </c>
      <c r="K18" s="287" t="n">
        <f aca="false">J18*1000</f>
        <v>2.5</v>
      </c>
      <c r="L18" s="282" t="n">
        <f aca="false">H18/G18</f>
        <v>1</v>
      </c>
      <c r="M18" s="279" t="n">
        <f aca="false">1/COUTMAX*(E18/2-C18)*1000</f>
        <v>1.90486111111111</v>
      </c>
      <c r="N18" s="279" t="n">
        <f aca="false">I18*G18*(A18-B18)</f>
        <v>0.0887573964497042</v>
      </c>
      <c r="O18" s="279" t="n">
        <f aca="false">G18*(A18-B18)</f>
        <v>284.023668639053</v>
      </c>
      <c r="P18" s="279" t="n">
        <f aca="false">(A18-B18)*(I_Cout_ss*$Q$2+C18)</f>
        <v>568.047337278107</v>
      </c>
      <c r="Q18" s="279" t="n">
        <f aca="false">(A18-B18)*(I_Cout_ss*$R$2+C18)</f>
        <v>106.508875739645</v>
      </c>
      <c r="X18" s="296" t="s">
        <v>440</v>
      </c>
      <c r="Y18" s="297" t="n">
        <f aca="false">MAX(Y15:Y17)</f>
        <v>0.424264068711929</v>
      </c>
    </row>
    <row r="19" customFormat="false" ht="13.2" hidden="false" customHeight="false" outlineLevel="0" collapsed="false">
      <c r="A19" s="279" t="n">
        <f aca="false">VINMAX</f>
        <v>50</v>
      </c>
      <c r="B19" s="289" t="n">
        <f aca="false">VINMAX*((ROW()-10)/104)</f>
        <v>4.32692307692308</v>
      </c>
      <c r="C19" s="290" t="n">
        <f aca="false">IF(B19&gt;=$H$2,IF($D$2="CC", $G$2, B19/$G$2), 0)</f>
        <v>0</v>
      </c>
      <c r="D19" s="291" t="n">
        <f aca="false">B2</f>
        <v>703.333333333333</v>
      </c>
      <c r="E19" s="292" t="n">
        <f aca="false">MIN(D19/(A19-B19),$C$2)</f>
        <v>15.399298245614</v>
      </c>
      <c r="F19" s="290" t="n">
        <f aca="false">I_Cout_ss+C19</f>
        <v>6.15384615384615</v>
      </c>
      <c r="G19" s="292" t="n">
        <f aca="false">IF($F$2="YES", F19, E19)</f>
        <v>6.15384615384615</v>
      </c>
      <c r="H19" s="290" t="n">
        <f aca="false">G19-C19</f>
        <v>6.15384615384615</v>
      </c>
      <c r="I19" s="293" t="n">
        <f aca="false">(COUTMAX/1000000)*(B19-B18)/H19</f>
        <v>0.0003125</v>
      </c>
      <c r="J19" s="294" t="n">
        <f aca="false">J18+I19</f>
        <v>0.0028125</v>
      </c>
      <c r="K19" s="287" t="n">
        <f aca="false">J19*1000</f>
        <v>2.8125</v>
      </c>
      <c r="L19" s="282" t="n">
        <f aca="false">H19/G19</f>
        <v>1</v>
      </c>
      <c r="M19" s="279" t="n">
        <f aca="false">1/COUTMAX*(E19/2-C19)*1000</f>
        <v>1.92491228070175</v>
      </c>
      <c r="N19" s="279" t="n">
        <f aca="false">I19*G19*(A19-B19)</f>
        <v>0.0878328402366863</v>
      </c>
      <c r="O19" s="279" t="n">
        <f aca="false">G19*(A19-B19)</f>
        <v>281.065088757396</v>
      </c>
      <c r="P19" s="279" t="n">
        <f aca="false">(A19-B19)*(I_Cout_ss*$Q$2+C19)</f>
        <v>562.130177514793</v>
      </c>
      <c r="Q19" s="279" t="n">
        <f aca="false">(A19-B19)*(I_Cout_ss*$R$2+C19)</f>
        <v>105.399408284024</v>
      </c>
      <c r="X19" s="297"/>
      <c r="Y19" s="297"/>
    </row>
    <row r="20" customFormat="false" ht="13.2" hidden="false" customHeight="false" outlineLevel="0" collapsed="false">
      <c r="A20" s="279" t="n">
        <f aca="false">VINMAX</f>
        <v>50</v>
      </c>
      <c r="B20" s="289" t="n">
        <f aca="false">VINMAX*((ROW()-10)/104)</f>
        <v>4.80769230769231</v>
      </c>
      <c r="C20" s="290" t="n">
        <f aca="false">IF(B20&gt;=$H$2,IF($D$2="CC", $G$2, B20/$G$2), 0)</f>
        <v>0</v>
      </c>
      <c r="D20" s="291" t="n">
        <f aca="false">B2</f>
        <v>703.333333333333</v>
      </c>
      <c r="E20" s="292" t="n">
        <f aca="false">MIN(D20/(A20-B20),$C$2)</f>
        <v>15.5631205673759</v>
      </c>
      <c r="F20" s="290" t="n">
        <f aca="false">I_Cout_ss+C20</f>
        <v>6.15384615384615</v>
      </c>
      <c r="G20" s="292" t="n">
        <f aca="false">IF($F$2="YES", F20, E20)</f>
        <v>6.15384615384615</v>
      </c>
      <c r="H20" s="290" t="n">
        <f aca="false">G20-C20</f>
        <v>6.15384615384615</v>
      </c>
      <c r="I20" s="293" t="n">
        <f aca="false">(COUTMAX/1000000)*(B20-B19)/H20</f>
        <v>0.000312500000000001</v>
      </c>
      <c r="J20" s="294" t="n">
        <f aca="false">J19+I20</f>
        <v>0.003125</v>
      </c>
      <c r="K20" s="287" t="n">
        <f aca="false">J20*1000</f>
        <v>3.125</v>
      </c>
      <c r="L20" s="282" t="n">
        <f aca="false">H20/G20</f>
        <v>1</v>
      </c>
      <c r="M20" s="279" t="n">
        <f aca="false">1/COUTMAX*(E20/2-C20)*1000</f>
        <v>1.94539007092199</v>
      </c>
      <c r="N20" s="279" t="n">
        <f aca="false">I20*G20*(A20-B20)</f>
        <v>0.0869082840236688</v>
      </c>
      <c r="O20" s="279" t="n">
        <f aca="false">G20*(A20-B20)</f>
        <v>278.10650887574</v>
      </c>
      <c r="P20" s="279" t="n">
        <f aca="false">(A20-B20)*(I_Cout_ss*$Q$2+C20)</f>
        <v>556.213017751479</v>
      </c>
      <c r="Q20" s="279" t="n">
        <f aca="false">(A20-B20)*(I_Cout_ss*$R$2+C20)</f>
        <v>104.289940828402</v>
      </c>
      <c r="X20" s="296" t="s">
        <v>441</v>
      </c>
      <c r="Y20" s="297" t="n">
        <v>0.2</v>
      </c>
    </row>
    <row r="21" customFormat="false" ht="13.2" hidden="false" customHeight="false" outlineLevel="0" collapsed="false">
      <c r="A21" s="279" t="n">
        <f aca="false">VINMAX</f>
        <v>50</v>
      </c>
      <c r="B21" s="289" t="n">
        <f aca="false">VINMAX*((ROW()-10)/104)</f>
        <v>5.28846153846154</v>
      </c>
      <c r="C21" s="290" t="n">
        <f aca="false">IF(B21&gt;=$H$2,IF($D$2="CC", $G$2, B21/$G$2), 0)</f>
        <v>0</v>
      </c>
      <c r="D21" s="291" t="n">
        <f aca="false">B2</f>
        <v>703.333333333333</v>
      </c>
      <c r="E21" s="292" t="n">
        <f aca="false">MIN(D21/(A21-B21),$C$2)</f>
        <v>15.7304659498208</v>
      </c>
      <c r="F21" s="290" t="n">
        <f aca="false">I_Cout_ss+C21</f>
        <v>6.15384615384615</v>
      </c>
      <c r="G21" s="292" t="n">
        <f aca="false">IF($F$2="YES", F21, E21)</f>
        <v>6.15384615384615</v>
      </c>
      <c r="H21" s="290" t="n">
        <f aca="false">G21-C21</f>
        <v>6.15384615384615</v>
      </c>
      <c r="I21" s="293" t="n">
        <f aca="false">(COUTMAX/1000000)*(B21-B20)/H21</f>
        <v>0.000312499999999999</v>
      </c>
      <c r="J21" s="294" t="n">
        <f aca="false">J20+I21</f>
        <v>0.0034375</v>
      </c>
      <c r="K21" s="287" t="n">
        <f aca="false">J21*1000</f>
        <v>3.4375</v>
      </c>
      <c r="L21" s="282" t="n">
        <f aca="false">H21/G21</f>
        <v>1</v>
      </c>
      <c r="M21" s="279" t="n">
        <f aca="false">1/COUTMAX*(E21/2-C21)*1000</f>
        <v>1.9663082437276</v>
      </c>
      <c r="N21" s="279" t="n">
        <f aca="false">I21*G21*(A21-B21)</f>
        <v>0.0859837278106507</v>
      </c>
      <c r="O21" s="279" t="n">
        <f aca="false">G21*(A21-B21)</f>
        <v>275.147928994083</v>
      </c>
      <c r="P21" s="279" t="n">
        <f aca="false">(A21-B21)*(I_Cout_ss*$Q$2+C21)</f>
        <v>550.295857988166</v>
      </c>
      <c r="Q21" s="279" t="n">
        <f aca="false">(A21-B21)*(I_Cout_ss*$R$2+C21)</f>
        <v>103.180473372781</v>
      </c>
      <c r="X21" s="296" t="s">
        <v>442</v>
      </c>
      <c r="Y21" s="297" t="n">
        <v>0.2</v>
      </c>
    </row>
    <row r="22" customFormat="false" ht="13.2" hidden="false" customHeight="false" outlineLevel="0" collapsed="false">
      <c r="A22" s="279" t="n">
        <f aca="false">VINMAX</f>
        <v>50</v>
      </c>
      <c r="B22" s="289" t="n">
        <f aca="false">VINMAX*((ROW()-10)/104)</f>
        <v>5.76923076923077</v>
      </c>
      <c r="C22" s="290" t="n">
        <f aca="false">IF(B22&gt;=$H$2,IF($D$2="CC", $G$2, B22/$G$2), 0)</f>
        <v>0</v>
      </c>
      <c r="D22" s="291" t="n">
        <f aca="false">B2</f>
        <v>703.333333333333</v>
      </c>
      <c r="E22" s="292" t="n">
        <f aca="false">MIN(D22/(A22-B22),$C$2)</f>
        <v>15.9014492753623</v>
      </c>
      <c r="F22" s="290" t="n">
        <f aca="false">I_Cout_ss+C22</f>
        <v>6.15384615384615</v>
      </c>
      <c r="G22" s="292" t="n">
        <f aca="false">IF($F$2="YES", F22, E22)</f>
        <v>6.15384615384615</v>
      </c>
      <c r="H22" s="290" t="n">
        <f aca="false">G22-C22</f>
        <v>6.15384615384615</v>
      </c>
      <c r="I22" s="293" t="n">
        <f aca="false">(COUTMAX/1000000)*(B22-B21)/H22</f>
        <v>0.0003125</v>
      </c>
      <c r="J22" s="294" t="n">
        <f aca="false">J21+I22</f>
        <v>0.00375</v>
      </c>
      <c r="K22" s="287" t="n">
        <f aca="false">J22*1000</f>
        <v>3.75</v>
      </c>
      <c r="L22" s="282" t="n">
        <f aca="false">H22/G22</f>
        <v>1</v>
      </c>
      <c r="M22" s="279" t="n">
        <f aca="false">1/COUTMAX*(E22/2-C22)*1000</f>
        <v>1.98768115942029</v>
      </c>
      <c r="N22" s="279" t="n">
        <f aca="false">I22*G22*(A22-B22)</f>
        <v>0.0850591715976332</v>
      </c>
      <c r="O22" s="279" t="n">
        <f aca="false">G22*(A22-B22)</f>
        <v>272.189349112426</v>
      </c>
      <c r="P22" s="279" t="n">
        <f aca="false">(A22-B22)*(I_Cout_ss*$Q$2+C22)</f>
        <v>544.378698224852</v>
      </c>
      <c r="Q22" s="279" t="n">
        <f aca="false">(A22-B22)*(I_Cout_ss*$R$2+C22)</f>
        <v>102.07100591716</v>
      </c>
      <c r="X22" s="296" t="s">
        <v>439</v>
      </c>
      <c r="Y22" s="297" t="n">
        <f aca="false">SQRT(Y21^2+Y20^2)</f>
        <v>0.282842712474619</v>
      </c>
    </row>
    <row r="23" customFormat="false" ht="13.2" hidden="false" customHeight="false" outlineLevel="0" collapsed="false">
      <c r="A23" s="279" t="n">
        <f aca="false">VINMAX</f>
        <v>50</v>
      </c>
      <c r="B23" s="289" t="n">
        <f aca="false">VINMAX*((ROW()-10)/104)</f>
        <v>6.25</v>
      </c>
      <c r="C23" s="290" t="n">
        <f aca="false">IF(B23&gt;=$H$2,IF($D$2="CC", $G$2, B23/$G$2), 0)</f>
        <v>0</v>
      </c>
      <c r="D23" s="291" t="n">
        <f aca="false">B2</f>
        <v>703.333333333333</v>
      </c>
      <c r="E23" s="292" t="n">
        <f aca="false">MIN(D23/(A23-B23),$C$2)</f>
        <v>16.0761904761905</v>
      </c>
      <c r="F23" s="290" t="n">
        <f aca="false">I_Cout_ss+C23</f>
        <v>6.15384615384615</v>
      </c>
      <c r="G23" s="292" t="n">
        <f aca="false">IF($F$2="YES", F23, E23)</f>
        <v>6.15384615384615</v>
      </c>
      <c r="H23" s="290" t="n">
        <f aca="false">G23-C23</f>
        <v>6.15384615384615</v>
      </c>
      <c r="I23" s="293" t="n">
        <f aca="false">(COUTMAX/1000000)*(B23-B22)/H23</f>
        <v>0.0003125</v>
      </c>
      <c r="J23" s="294" t="n">
        <f aca="false">J22+I23</f>
        <v>0.0040625</v>
      </c>
      <c r="K23" s="287" t="n">
        <f aca="false">J23*1000</f>
        <v>4.0625</v>
      </c>
      <c r="L23" s="282" t="n">
        <f aca="false">H23/G23</f>
        <v>1</v>
      </c>
      <c r="M23" s="279" t="n">
        <f aca="false">1/COUTMAX*(E23/2-C23)*1000</f>
        <v>2.00952380952381</v>
      </c>
      <c r="N23" s="279" t="n">
        <f aca="false">I23*G23*(A23-B23)</f>
        <v>0.0841346153846154</v>
      </c>
      <c r="O23" s="279" t="n">
        <f aca="false">G23*(A23-B23)</f>
        <v>269.230769230769</v>
      </c>
      <c r="P23" s="279" t="n">
        <f aca="false">(A23-B23)*(I_Cout_ss*$Q$2+C23)</f>
        <v>538.461538461538</v>
      </c>
      <c r="Q23" s="279" t="n">
        <f aca="false">(A23-B23)*(I_Cout_ss*$R$2+C23)</f>
        <v>100.961538461538</v>
      </c>
      <c r="X23" s="297"/>
      <c r="Y23" s="297"/>
    </row>
    <row r="24" customFormat="false" ht="13.2" hidden="false" customHeight="false" outlineLevel="0" collapsed="false">
      <c r="A24" s="279" t="n">
        <f aca="false">VINMAX</f>
        <v>50</v>
      </c>
      <c r="B24" s="289" t="n">
        <f aca="false">VINMAX*((ROW()-10)/104)</f>
        <v>6.73076923076923</v>
      </c>
      <c r="C24" s="290" t="n">
        <f aca="false">IF(B24&gt;=$H$2,IF($D$2="CC", $G$2, B24/$G$2), 0)</f>
        <v>0</v>
      </c>
      <c r="D24" s="291" t="n">
        <f aca="false">B2</f>
        <v>703.333333333333</v>
      </c>
      <c r="E24" s="292" t="n">
        <f aca="false">MIN(D24/(A24-B24),$C$2)</f>
        <v>16.2548148148148</v>
      </c>
      <c r="F24" s="290" t="n">
        <f aca="false">I_Cout_ss+C24</f>
        <v>6.15384615384615</v>
      </c>
      <c r="G24" s="292" t="n">
        <f aca="false">IF($F$2="YES", F24, E24)</f>
        <v>6.15384615384615</v>
      </c>
      <c r="H24" s="290" t="n">
        <f aca="false">G24-C24</f>
        <v>6.15384615384615</v>
      </c>
      <c r="I24" s="293" t="n">
        <f aca="false">(COUTMAX/1000000)*(B24-B23)/H24</f>
        <v>0.0003125</v>
      </c>
      <c r="J24" s="294" t="n">
        <f aca="false">J23+I24</f>
        <v>0.004375</v>
      </c>
      <c r="K24" s="287" t="n">
        <f aca="false">J24*1000</f>
        <v>4.375</v>
      </c>
      <c r="L24" s="282" t="n">
        <f aca="false">H24/G24</f>
        <v>1</v>
      </c>
      <c r="M24" s="279" t="n">
        <f aca="false">1/COUTMAX*(E24/2-C24)*1000</f>
        <v>2.03185185185185</v>
      </c>
      <c r="N24" s="279" t="n">
        <f aca="false">I24*G24*(A24-B24)</f>
        <v>0.0832100591715976</v>
      </c>
      <c r="O24" s="279" t="n">
        <f aca="false">G24*(A24-B24)</f>
        <v>266.272189349112</v>
      </c>
      <c r="P24" s="279" t="n">
        <f aca="false">(A24-B24)*(I_Cout_ss*$Q$2+C24)</f>
        <v>532.544378698225</v>
      </c>
      <c r="Q24" s="279" t="n">
        <f aca="false">(A24-B24)*(I_Cout_ss*$R$2+C24)</f>
        <v>99.8520710059172</v>
      </c>
      <c r="X24" s="296" t="s">
        <v>443</v>
      </c>
      <c r="Y24" s="297" t="n">
        <f aca="false">SQRT(Y18^2+Y22^2)</f>
        <v>0.509901951359278</v>
      </c>
    </row>
    <row r="25" customFormat="false" ht="13.2" hidden="false" customHeight="false" outlineLevel="0" collapsed="false">
      <c r="A25" s="279" t="n">
        <f aca="false">VINMAX</f>
        <v>50</v>
      </c>
      <c r="B25" s="289" t="n">
        <f aca="false">VINMAX*((ROW()-10)/104)</f>
        <v>7.21153846153846</v>
      </c>
      <c r="C25" s="290" t="n">
        <f aca="false">IF(B25&gt;=$H$2,IF($D$2="CC", $G$2, B25/$G$2), 0)</f>
        <v>0</v>
      </c>
      <c r="D25" s="291" t="n">
        <f aca="false">B2</f>
        <v>703.333333333333</v>
      </c>
      <c r="E25" s="292" t="n">
        <f aca="false">MIN(D25/(A25-B25),$C$2)</f>
        <v>16.4374531835206</v>
      </c>
      <c r="F25" s="290" t="n">
        <f aca="false">I_Cout_ss+C25</f>
        <v>6.15384615384615</v>
      </c>
      <c r="G25" s="292" t="n">
        <f aca="false">IF($F$2="YES", F25, E25)</f>
        <v>6.15384615384615</v>
      </c>
      <c r="H25" s="290" t="n">
        <f aca="false">G25-C25</f>
        <v>6.15384615384615</v>
      </c>
      <c r="I25" s="293" t="n">
        <f aca="false">(COUTMAX/1000000)*(B25-B24)/H25</f>
        <v>0.000312499999999999</v>
      </c>
      <c r="J25" s="294" t="n">
        <f aca="false">J24+I25</f>
        <v>0.0046875</v>
      </c>
      <c r="K25" s="287" t="n">
        <f aca="false">J25*1000</f>
        <v>4.6875</v>
      </c>
      <c r="L25" s="282" t="n">
        <f aca="false">H25/G25</f>
        <v>1</v>
      </c>
      <c r="M25" s="279" t="n">
        <f aca="false">1/COUTMAX*(E25/2-C25)*1000</f>
        <v>2.05468164794007</v>
      </c>
      <c r="N25" s="279" t="n">
        <f aca="false">I25*G25*(A25-B25)</f>
        <v>0.0822855029585798</v>
      </c>
      <c r="O25" s="279" t="n">
        <f aca="false">G25*(A25-B25)</f>
        <v>263.313609467456</v>
      </c>
      <c r="P25" s="279" t="n">
        <f aca="false">(A25-B25)*(I_Cout_ss*$Q$2+C25)</f>
        <v>526.627218934911</v>
      </c>
      <c r="Q25" s="279" t="n">
        <f aca="false">(A25-B25)*(I_Cout_ss*$R$2+C25)</f>
        <v>98.7426035502959</v>
      </c>
    </row>
    <row r="26" customFormat="false" ht="13.2" hidden="false" customHeight="false" outlineLevel="0" collapsed="false">
      <c r="A26" s="279" t="n">
        <f aca="false">VINMAX</f>
        <v>50</v>
      </c>
      <c r="B26" s="289" t="n">
        <f aca="false">VINMAX*((ROW()-10)/104)</f>
        <v>7.69230769230769</v>
      </c>
      <c r="C26" s="290" t="n">
        <f aca="false">IF(B26&gt;=$H$2,IF($D$2="CC", $G$2, B26/$G$2), 0)</f>
        <v>0</v>
      </c>
      <c r="D26" s="291" t="n">
        <f aca="false">B2</f>
        <v>703.333333333333</v>
      </c>
      <c r="E26" s="292" t="n">
        <f aca="false">MIN(D26/(A26-B26),$C$2)</f>
        <v>16.6242424242424</v>
      </c>
      <c r="F26" s="290" t="n">
        <f aca="false">I_Cout_ss+C26</f>
        <v>6.15384615384615</v>
      </c>
      <c r="G26" s="292" t="n">
        <f aca="false">IF($F$2="YES", F26, E26)</f>
        <v>6.15384615384615</v>
      </c>
      <c r="H26" s="290" t="n">
        <f aca="false">G26-C26</f>
        <v>6.15384615384615</v>
      </c>
      <c r="I26" s="293" t="n">
        <f aca="false">(COUTMAX/1000000)*(B26-B25)/H26</f>
        <v>0.000312500000000001</v>
      </c>
      <c r="J26" s="294" t="n">
        <f aca="false">J25+I26</f>
        <v>0.005</v>
      </c>
      <c r="K26" s="287" t="n">
        <f aca="false">J26*1000</f>
        <v>5</v>
      </c>
      <c r="L26" s="282" t="n">
        <f aca="false">H26/G26</f>
        <v>1</v>
      </c>
      <c r="M26" s="279" t="n">
        <f aca="false">1/COUTMAX*(E26/2-C26)*1000</f>
        <v>2.0780303030303</v>
      </c>
      <c r="N26" s="279" t="n">
        <f aca="false">I26*G26*(A26-B26)</f>
        <v>0.0813609467455623</v>
      </c>
      <c r="O26" s="279" t="n">
        <f aca="false">G26*(A26-B26)</f>
        <v>260.355029585799</v>
      </c>
      <c r="P26" s="279" t="n">
        <f aca="false">(A26-B26)*(I_Cout_ss*$Q$2+C26)</f>
        <v>520.710059171598</v>
      </c>
      <c r="Q26" s="279" t="n">
        <f aca="false">(A26-B26)*(I_Cout_ss*$R$2+C26)</f>
        <v>97.6331360946746</v>
      </c>
    </row>
    <row r="27" customFormat="false" ht="13.2" hidden="false" customHeight="false" outlineLevel="0" collapsed="false">
      <c r="A27" s="279" t="n">
        <f aca="false">VINMAX</f>
        <v>50</v>
      </c>
      <c r="B27" s="289" t="n">
        <f aca="false">VINMAX*((ROW()-10)/104)</f>
        <v>8.17307692307692</v>
      </c>
      <c r="C27" s="290" t="n">
        <f aca="false">IF(B27&gt;=$H$2,IF($D$2="CC", $G$2, B27/$G$2), 0)</f>
        <v>0</v>
      </c>
      <c r="D27" s="291" t="n">
        <f aca="false">B2</f>
        <v>703.333333333333</v>
      </c>
      <c r="E27" s="292" t="n">
        <f aca="false">MIN(D27/(A27-B27),$C$2)</f>
        <v>16.8153256704981</v>
      </c>
      <c r="F27" s="290" t="n">
        <f aca="false">I_Cout_ss+C27</f>
        <v>6.15384615384615</v>
      </c>
      <c r="G27" s="292" t="n">
        <f aca="false">IF($F$2="YES", F27, E27)</f>
        <v>6.15384615384615</v>
      </c>
      <c r="H27" s="290" t="n">
        <f aca="false">G27-C27</f>
        <v>6.15384615384615</v>
      </c>
      <c r="I27" s="293" t="n">
        <f aca="false">(COUTMAX/1000000)*(B27-B26)/H27</f>
        <v>0.0003125</v>
      </c>
      <c r="J27" s="294" t="n">
        <f aca="false">J26+I27</f>
        <v>0.0053125</v>
      </c>
      <c r="K27" s="287" t="n">
        <f aca="false">J27*1000</f>
        <v>5.3125</v>
      </c>
      <c r="L27" s="282" t="n">
        <f aca="false">H27/G27</f>
        <v>1</v>
      </c>
      <c r="M27" s="279" t="n">
        <f aca="false">1/COUTMAX*(E27/2-C27)*1000</f>
        <v>2.10191570881226</v>
      </c>
      <c r="N27" s="279" t="n">
        <f aca="false">I27*G27*(A27-B27)</f>
        <v>0.0804363905325444</v>
      </c>
      <c r="O27" s="279" t="n">
        <f aca="false">G27*(A27-B27)</f>
        <v>257.396449704142</v>
      </c>
      <c r="P27" s="279" t="n">
        <f aca="false">(A27-B27)*(I_Cout_ss*$Q$2+C27)</f>
        <v>514.792899408284</v>
      </c>
      <c r="Q27" s="279" t="n">
        <f aca="false">(A27-B27)*(I_Cout_ss*$R$2+C27)</f>
        <v>96.5236686390533</v>
      </c>
    </row>
    <row r="28" customFormat="false" ht="13.2" hidden="false" customHeight="false" outlineLevel="0" collapsed="false">
      <c r="A28" s="279" t="n">
        <f aca="false">VINMAX</f>
        <v>50</v>
      </c>
      <c r="B28" s="289" t="n">
        <f aca="false">VINMAX*((ROW()-10)/104)</f>
        <v>8.65384615384615</v>
      </c>
      <c r="C28" s="290" t="n">
        <f aca="false">IF(B28&gt;=$H$2,IF($D$2="CC", $G$2, B28/$G$2), 0)</f>
        <v>0</v>
      </c>
      <c r="D28" s="291" t="n">
        <f aca="false">B2</f>
        <v>703.333333333333</v>
      </c>
      <c r="E28" s="292" t="n">
        <f aca="false">MIN(D28/(A28-B28),$C$2)</f>
        <v>17.0108527131783</v>
      </c>
      <c r="F28" s="290" t="n">
        <f aca="false">I_Cout_ss+C28</f>
        <v>6.15384615384615</v>
      </c>
      <c r="G28" s="292" t="n">
        <f aca="false">IF($F$2="YES", F28, E28)</f>
        <v>6.15384615384615</v>
      </c>
      <c r="H28" s="290" t="n">
        <f aca="false">G28-C28</f>
        <v>6.15384615384615</v>
      </c>
      <c r="I28" s="293" t="n">
        <f aca="false">(COUTMAX/1000000)*(B28-B27)/H28</f>
        <v>0.000312499999999999</v>
      </c>
      <c r="J28" s="294" t="n">
        <f aca="false">J27+I28</f>
        <v>0.005625</v>
      </c>
      <c r="K28" s="287" t="n">
        <f aca="false">J28*1000</f>
        <v>5.625</v>
      </c>
      <c r="L28" s="282" t="n">
        <f aca="false">H28/G28</f>
        <v>1</v>
      </c>
      <c r="M28" s="279" t="n">
        <f aca="false">1/COUTMAX*(E28/2-C28)*1000</f>
        <v>2.12635658914729</v>
      </c>
      <c r="N28" s="279" t="n">
        <f aca="false">I28*G28*(A28-B28)</f>
        <v>0.0795118343195265</v>
      </c>
      <c r="O28" s="279" t="n">
        <f aca="false">G28*(A28-B28)</f>
        <v>254.437869822485</v>
      </c>
      <c r="P28" s="279" t="n">
        <f aca="false">(A28-B28)*(I_Cout_ss*$Q$2+C28)</f>
        <v>508.87573964497</v>
      </c>
      <c r="Q28" s="279" t="n">
        <f aca="false">(A28-B28)*(I_Cout_ss*$R$2+C28)</f>
        <v>95.414201183432</v>
      </c>
    </row>
    <row r="29" customFormat="false" ht="13.2" hidden="false" customHeight="false" outlineLevel="0" collapsed="false">
      <c r="A29" s="279" t="n">
        <f aca="false">VINMAX</f>
        <v>50</v>
      </c>
      <c r="B29" s="289" t="n">
        <f aca="false">VINMAX*((ROW()-10)/104)</f>
        <v>9.13461538461538</v>
      </c>
      <c r="C29" s="290" t="n">
        <f aca="false">IF(B29&gt;=$H$2,IF($D$2="CC", $G$2, B29/$G$2), 0)</f>
        <v>0</v>
      </c>
      <c r="D29" s="291" t="n">
        <f aca="false">B2</f>
        <v>703.333333333333</v>
      </c>
      <c r="E29" s="292" t="n">
        <f aca="false">MIN(D29/(A29-B29),$C$2)</f>
        <v>17.2109803921569</v>
      </c>
      <c r="F29" s="290" t="n">
        <f aca="false">I_Cout_ss+C29</f>
        <v>6.15384615384615</v>
      </c>
      <c r="G29" s="292" t="n">
        <f aca="false">IF($F$2="YES", F29, E29)</f>
        <v>6.15384615384615</v>
      </c>
      <c r="H29" s="290" t="n">
        <f aca="false">G29-C29</f>
        <v>6.15384615384615</v>
      </c>
      <c r="I29" s="293" t="n">
        <f aca="false">(COUTMAX/1000000)*(B29-B28)/H29</f>
        <v>0.000312499999999999</v>
      </c>
      <c r="J29" s="294" t="n">
        <f aca="false">J28+I29</f>
        <v>0.0059375</v>
      </c>
      <c r="K29" s="287" t="n">
        <f aca="false">J29*1000</f>
        <v>5.9375</v>
      </c>
      <c r="L29" s="282" t="n">
        <f aca="false">H29/G29</f>
        <v>1</v>
      </c>
      <c r="M29" s="279" t="n">
        <f aca="false">1/COUTMAX*(E29/2-C29)*1000</f>
        <v>2.15137254901961</v>
      </c>
      <c r="N29" s="279" t="n">
        <f aca="false">I29*G29*(A29-B29)</f>
        <v>0.0785872781065087</v>
      </c>
      <c r="O29" s="279" t="n">
        <f aca="false">G29*(A29-B29)</f>
        <v>251.479289940828</v>
      </c>
      <c r="P29" s="279" t="n">
        <f aca="false">(A29-B29)*(I_Cout_ss*$Q$2+C29)</f>
        <v>502.958579881657</v>
      </c>
      <c r="Q29" s="279" t="n">
        <f aca="false">(A29-B29)*(I_Cout_ss*$R$2+C29)</f>
        <v>94.3047337278107</v>
      </c>
    </row>
    <row r="30" customFormat="false" ht="13.2" hidden="false" customHeight="false" outlineLevel="0" collapsed="false">
      <c r="A30" s="279" t="n">
        <f aca="false">VINMAX</f>
        <v>50</v>
      </c>
      <c r="B30" s="289" t="n">
        <f aca="false">VINMAX*((ROW()-10)/104)</f>
        <v>9.61538461538462</v>
      </c>
      <c r="C30" s="290" t="n">
        <f aca="false">IF(B30&gt;=$H$2,IF($D$2="CC", $G$2, B30/$G$2), 0)</f>
        <v>0</v>
      </c>
      <c r="D30" s="291" t="n">
        <f aca="false">B2</f>
        <v>703.333333333333</v>
      </c>
      <c r="E30" s="292" t="n">
        <f aca="false">MIN(D30/(A30-B30),$C$2)</f>
        <v>17.415873015873</v>
      </c>
      <c r="F30" s="290" t="n">
        <f aca="false">I_Cout_ss+C30</f>
        <v>6.15384615384615</v>
      </c>
      <c r="G30" s="292" t="n">
        <f aca="false">IF($F$2="YES", F30, E30)</f>
        <v>6.15384615384615</v>
      </c>
      <c r="H30" s="290" t="n">
        <f aca="false">G30-C30</f>
        <v>6.15384615384615</v>
      </c>
      <c r="I30" s="293" t="n">
        <f aca="false">(COUTMAX/1000000)*(B30-B29)/H30</f>
        <v>0.000312500000000002</v>
      </c>
      <c r="J30" s="294" t="n">
        <f aca="false">J29+I30</f>
        <v>0.00625</v>
      </c>
      <c r="K30" s="287" t="n">
        <f aca="false">J30*1000</f>
        <v>6.25</v>
      </c>
      <c r="L30" s="282" t="n">
        <f aca="false">H30/G30</f>
        <v>1</v>
      </c>
      <c r="M30" s="279" t="n">
        <f aca="false">1/COUTMAX*(E30/2-C30)*1000</f>
        <v>2.17698412698413</v>
      </c>
      <c r="N30" s="279" t="n">
        <f aca="false">I30*G30*(A30-B30)</f>
        <v>0.0776627218934916</v>
      </c>
      <c r="O30" s="279" t="n">
        <f aca="false">G30*(A30-B30)</f>
        <v>248.520710059172</v>
      </c>
      <c r="P30" s="279" t="n">
        <f aca="false">(A30-B30)*(I_Cout_ss*$Q$2+C30)</f>
        <v>497.041420118343</v>
      </c>
      <c r="Q30" s="279" t="n">
        <f aca="false">(A30-B30)*(I_Cout_ss*$R$2+C30)</f>
        <v>93.1952662721894</v>
      </c>
    </row>
    <row r="31" customFormat="false" ht="13.2" hidden="false" customHeight="false" outlineLevel="0" collapsed="false">
      <c r="A31" s="279" t="n">
        <f aca="false">VINMAX</f>
        <v>50</v>
      </c>
      <c r="B31" s="289" t="n">
        <f aca="false">VINMAX*((ROW()-10)/104)</f>
        <v>10.0961538461538</v>
      </c>
      <c r="C31" s="290" t="n">
        <f aca="false">IF(B31&gt;=$H$2,IF($D$2="CC", $G$2, B31/$G$2), 0)</f>
        <v>0</v>
      </c>
      <c r="D31" s="291" t="n">
        <f aca="false">B2</f>
        <v>703.333333333333</v>
      </c>
      <c r="E31" s="292" t="n">
        <f aca="false">MIN(D31/(A31-B31),$C$2)</f>
        <v>17.625702811245</v>
      </c>
      <c r="F31" s="290" t="n">
        <f aca="false">I_Cout_ss+C31</f>
        <v>6.15384615384615</v>
      </c>
      <c r="G31" s="292" t="n">
        <f aca="false">IF($F$2="YES", F31, E31)</f>
        <v>6.15384615384615</v>
      </c>
      <c r="H31" s="290" t="n">
        <f aca="false">G31-C31</f>
        <v>6.15384615384615</v>
      </c>
      <c r="I31" s="293" t="n">
        <f aca="false">(COUTMAX/1000000)*(B31-B30)/H31</f>
        <v>0.000312499999999999</v>
      </c>
      <c r="J31" s="294" t="n">
        <f aca="false">J30+I31</f>
        <v>0.0065625</v>
      </c>
      <c r="K31" s="287" t="n">
        <f aca="false">J31*1000</f>
        <v>6.5625</v>
      </c>
      <c r="L31" s="282" t="n">
        <f aca="false">H31/G31</f>
        <v>1</v>
      </c>
      <c r="M31" s="279" t="n">
        <f aca="false">1/COUTMAX*(E31/2-C31)*1000</f>
        <v>2.20321285140562</v>
      </c>
      <c r="N31" s="279" t="n">
        <f aca="false">I31*G31*(A31-B31)</f>
        <v>0.0767381656804732</v>
      </c>
      <c r="O31" s="279" t="n">
        <f aca="false">G31*(A31-B31)</f>
        <v>245.562130177515</v>
      </c>
      <c r="P31" s="279" t="n">
        <f aca="false">(A31-B31)*(I_Cout_ss*$Q$2+C31)</f>
        <v>491.12426035503</v>
      </c>
      <c r="Q31" s="279" t="n">
        <f aca="false">(A31-B31)*(I_Cout_ss*$R$2+C31)</f>
        <v>92.0857988165681</v>
      </c>
    </row>
    <row r="32" customFormat="false" ht="13.2" hidden="false" customHeight="false" outlineLevel="0" collapsed="false">
      <c r="A32" s="279" t="n">
        <f aca="false">VINMAX</f>
        <v>50</v>
      </c>
      <c r="B32" s="289" t="n">
        <f aca="false">VINMAX*((ROW()-10)/104)</f>
        <v>10.5769230769231</v>
      </c>
      <c r="C32" s="290" t="n">
        <f aca="false">IF(B32&gt;=$H$2,IF($D$2="CC", $G$2, B32/$G$2), 0)</f>
        <v>0</v>
      </c>
      <c r="D32" s="291" t="n">
        <f aca="false">B2</f>
        <v>703.333333333333</v>
      </c>
      <c r="E32" s="292" t="n">
        <f aca="false">MIN(D32/(A32-B32),$C$2)</f>
        <v>17.8406504065041</v>
      </c>
      <c r="F32" s="290" t="n">
        <f aca="false">I_Cout_ss+C32</f>
        <v>6.15384615384615</v>
      </c>
      <c r="G32" s="292" t="n">
        <f aca="false">IF($F$2="YES", F32, E32)</f>
        <v>6.15384615384615</v>
      </c>
      <c r="H32" s="290" t="n">
        <f aca="false">G32-C32</f>
        <v>6.15384615384615</v>
      </c>
      <c r="I32" s="293" t="n">
        <f aca="false">(COUTMAX/1000000)*(B32-B31)/H32</f>
        <v>0.000312499999999999</v>
      </c>
      <c r="J32" s="294" t="n">
        <f aca="false">J31+I32</f>
        <v>0.006875</v>
      </c>
      <c r="K32" s="287" t="n">
        <f aca="false">J32*1000</f>
        <v>6.875</v>
      </c>
      <c r="L32" s="282" t="n">
        <f aca="false">H32/G32</f>
        <v>1</v>
      </c>
      <c r="M32" s="279" t="n">
        <f aca="false">1/COUTMAX*(E32/2-C32)*1000</f>
        <v>2.23008130081301</v>
      </c>
      <c r="N32" s="279" t="n">
        <f aca="false">I32*G32*(A32-B32)</f>
        <v>0.0758136094674555</v>
      </c>
      <c r="O32" s="279" t="n">
        <f aca="false">G32*(A32-B32)</f>
        <v>242.603550295858</v>
      </c>
      <c r="P32" s="279" t="n">
        <f aca="false">(A32-B32)*(I_Cout_ss*$Q$2+C32)</f>
        <v>485.207100591716</v>
      </c>
      <c r="Q32" s="279" t="n">
        <f aca="false">(A32-B32)*(I_Cout_ss*$R$2+C32)</f>
        <v>90.9763313609468</v>
      </c>
    </row>
    <row r="33" customFormat="false" ht="13.2" hidden="false" customHeight="false" outlineLevel="0" collapsed="false">
      <c r="A33" s="279" t="n">
        <f aca="false">VINMAX</f>
        <v>50</v>
      </c>
      <c r="B33" s="289" t="n">
        <f aca="false">VINMAX*((ROW()-10)/104)</f>
        <v>11.0576923076923</v>
      </c>
      <c r="C33" s="290" t="n">
        <f aca="false">IF(B33&gt;=$H$2,IF($D$2="CC", $G$2, B33/$G$2), 0)</f>
        <v>0</v>
      </c>
      <c r="D33" s="291" t="n">
        <f aca="false">B2</f>
        <v>703.333333333333</v>
      </c>
      <c r="E33" s="292" t="n">
        <f aca="false">MIN(D33/(A33-B33),$C$2)</f>
        <v>18.0609053497942</v>
      </c>
      <c r="F33" s="290" t="n">
        <f aca="false">I_Cout_ss+C33</f>
        <v>6.15384615384615</v>
      </c>
      <c r="G33" s="292" t="n">
        <f aca="false">IF($F$2="YES", F33, E33)</f>
        <v>6.15384615384615</v>
      </c>
      <c r="H33" s="290" t="n">
        <f aca="false">G33-C33</f>
        <v>6.15384615384615</v>
      </c>
      <c r="I33" s="293" t="n">
        <f aca="false">(COUTMAX/1000000)*(B33-B32)/H33</f>
        <v>0.000312499999999999</v>
      </c>
      <c r="J33" s="294" t="n">
        <f aca="false">J32+I33</f>
        <v>0.0071875</v>
      </c>
      <c r="K33" s="287" t="n">
        <f aca="false">J33*1000</f>
        <v>7.1875</v>
      </c>
      <c r="L33" s="282" t="n">
        <f aca="false">H33/G33</f>
        <v>1</v>
      </c>
      <c r="M33" s="279" t="n">
        <f aca="false">1/COUTMAX*(E33/2-C33)*1000</f>
        <v>2.25761316872428</v>
      </c>
      <c r="N33" s="279" t="n">
        <f aca="false">I33*G33*(A33-B33)</f>
        <v>0.0748890532544377</v>
      </c>
      <c r="O33" s="279" t="n">
        <f aca="false">G33*(A33-B33)</f>
        <v>239.644970414201</v>
      </c>
      <c r="P33" s="279" t="n">
        <f aca="false">(A33-B33)*(I_Cout_ss*$Q$2+C33)</f>
        <v>479.289940828402</v>
      </c>
      <c r="Q33" s="279" t="n">
        <f aca="false">(A33-B33)*(I_Cout_ss*$R$2+C33)</f>
        <v>89.8668639053255</v>
      </c>
    </row>
    <row r="34" customFormat="false" ht="13.2" hidden="false" customHeight="false" outlineLevel="0" collapsed="false">
      <c r="A34" s="279" t="n">
        <f aca="false">VINMAX</f>
        <v>50</v>
      </c>
      <c r="B34" s="289" t="n">
        <f aca="false">VINMAX*((ROW()-10)/104)</f>
        <v>11.5384615384615</v>
      </c>
      <c r="C34" s="290" t="n">
        <f aca="false">IF(B34&gt;=$H$2,IF($D$2="CC", $G$2, B34/$G$2), 0)</f>
        <v>0</v>
      </c>
      <c r="D34" s="291" t="n">
        <f aca="false">B2</f>
        <v>703.333333333333</v>
      </c>
      <c r="E34" s="292" t="n">
        <f aca="false">MIN(D34/(A34-B34),$C$2)</f>
        <v>18.2866666666667</v>
      </c>
      <c r="F34" s="290" t="n">
        <f aca="false">I_Cout_ss+C34</f>
        <v>6.15384615384615</v>
      </c>
      <c r="G34" s="292" t="n">
        <f aca="false">IF($F$2="YES", F34, E34)</f>
        <v>6.15384615384615</v>
      </c>
      <c r="H34" s="290" t="n">
        <f aca="false">G34-C34</f>
        <v>6.15384615384615</v>
      </c>
      <c r="I34" s="293" t="n">
        <f aca="false">(COUTMAX/1000000)*(B34-B33)/H34</f>
        <v>0.000312500000000001</v>
      </c>
      <c r="J34" s="294" t="n">
        <f aca="false">J33+I34</f>
        <v>0.0075</v>
      </c>
      <c r="K34" s="287" t="n">
        <f aca="false">J34*1000</f>
        <v>7.5</v>
      </c>
      <c r="L34" s="282" t="n">
        <f aca="false">H34/G34</f>
        <v>1</v>
      </c>
      <c r="M34" s="279" t="n">
        <f aca="false">1/COUTMAX*(E34/2-C34)*1000</f>
        <v>2.28583333333333</v>
      </c>
      <c r="N34" s="279" t="n">
        <f aca="false">I34*G34*(A34-B34)</f>
        <v>0.0739644970414203</v>
      </c>
      <c r="O34" s="279" t="n">
        <f aca="false">G34*(A34-B34)</f>
        <v>236.686390532544</v>
      </c>
      <c r="P34" s="279" t="n">
        <f aca="false">(A34-B34)*(I_Cout_ss*$Q$2+C34)</f>
        <v>473.372781065089</v>
      </c>
      <c r="Q34" s="279" t="n">
        <f aca="false">(A34-B34)*(I_Cout_ss*$R$2+C34)</f>
        <v>88.7573964497041</v>
      </c>
    </row>
    <row r="35" customFormat="false" ht="13.2" hidden="false" customHeight="false" outlineLevel="0" collapsed="false">
      <c r="A35" s="279" t="n">
        <f aca="false">VINMAX</f>
        <v>50</v>
      </c>
      <c r="B35" s="289" t="n">
        <f aca="false">VINMAX*((ROW()-10)/104)</f>
        <v>12.0192307692308</v>
      </c>
      <c r="C35" s="290" t="n">
        <f aca="false">IF(B35&gt;=$H$2,IF($D$2="CC", $G$2, B35/$G$2), 0)</f>
        <v>0</v>
      </c>
      <c r="D35" s="291" t="n">
        <f aca="false">B2</f>
        <v>703.333333333333</v>
      </c>
      <c r="E35" s="292" t="n">
        <f aca="false">MIN(D35/(A35-B35),$C$2)</f>
        <v>18.5181434599156</v>
      </c>
      <c r="F35" s="290" t="n">
        <f aca="false">I_Cout_ss+C35</f>
        <v>6.15384615384615</v>
      </c>
      <c r="G35" s="292" t="n">
        <f aca="false">IF($F$2="YES", F35, E35)</f>
        <v>6.15384615384615</v>
      </c>
      <c r="H35" s="290" t="n">
        <f aca="false">G35-C35</f>
        <v>6.15384615384615</v>
      </c>
      <c r="I35" s="293" t="n">
        <f aca="false">(COUTMAX/1000000)*(B35-B34)/H35</f>
        <v>0.000312500000000001</v>
      </c>
      <c r="J35" s="294" t="n">
        <f aca="false">J34+I35</f>
        <v>0.0078125</v>
      </c>
      <c r="K35" s="287" t="n">
        <f aca="false">J35*1000</f>
        <v>7.8125</v>
      </c>
      <c r="L35" s="282" t="n">
        <f aca="false">H35/G35</f>
        <v>1</v>
      </c>
      <c r="M35" s="279" t="n">
        <f aca="false">1/COUTMAX*(E35/2-C35)*1000</f>
        <v>2.31476793248945</v>
      </c>
      <c r="N35" s="279" t="n">
        <f aca="false">I35*G35*(A35-B35)</f>
        <v>0.0730399408284025</v>
      </c>
      <c r="O35" s="279" t="n">
        <f aca="false">G35*(A35-B35)</f>
        <v>233.727810650888</v>
      </c>
      <c r="P35" s="279" t="n">
        <f aca="false">(A35-B35)*(I_Cout_ss*$Q$2+C35)</f>
        <v>467.455621301775</v>
      </c>
      <c r="Q35" s="279" t="n">
        <f aca="false">(A35-B35)*(I_Cout_ss*$R$2+C35)</f>
        <v>87.6479289940828</v>
      </c>
    </row>
    <row r="36" customFormat="false" ht="13.2" hidden="false" customHeight="false" outlineLevel="0" collapsed="false">
      <c r="A36" s="279" t="n">
        <f aca="false">VINMAX</f>
        <v>50</v>
      </c>
      <c r="B36" s="289" t="n">
        <f aca="false">VINMAX*((ROW()-10)/104)</f>
        <v>12.5</v>
      </c>
      <c r="C36" s="290" t="n">
        <f aca="false">IF(B36&gt;=$H$2,IF($D$2="CC", $G$2, B36/$G$2), 0)</f>
        <v>0</v>
      </c>
      <c r="D36" s="291" t="n">
        <f aca="false">B2</f>
        <v>703.333333333333</v>
      </c>
      <c r="E36" s="292" t="n">
        <f aca="false">MIN(D36/(A36-B36),$C$2)</f>
        <v>18.7555555555556</v>
      </c>
      <c r="F36" s="290" t="n">
        <f aca="false">I_Cout_ss+C36</f>
        <v>6.15384615384615</v>
      </c>
      <c r="G36" s="292" t="n">
        <f aca="false">IF($F$2="YES", F36, E36)</f>
        <v>6.15384615384615</v>
      </c>
      <c r="H36" s="290" t="n">
        <f aca="false">G36-C36</f>
        <v>6.15384615384615</v>
      </c>
      <c r="I36" s="293" t="n">
        <f aca="false">(COUTMAX/1000000)*(B36-B35)/H36</f>
        <v>0.000312499999999999</v>
      </c>
      <c r="J36" s="294" t="n">
        <f aca="false">J35+I36</f>
        <v>0.008125</v>
      </c>
      <c r="K36" s="287" t="n">
        <f aca="false">J36*1000</f>
        <v>8.125</v>
      </c>
      <c r="L36" s="282" t="n">
        <f aca="false">H36/G36</f>
        <v>1</v>
      </c>
      <c r="M36" s="279" t="n">
        <f aca="false">1/COUTMAX*(E36/2-C36)*1000</f>
        <v>2.34444444444444</v>
      </c>
      <c r="N36" s="279" t="n">
        <f aca="false">I36*G36*(A36-B36)</f>
        <v>0.0721153846153845</v>
      </c>
      <c r="O36" s="279" t="n">
        <f aca="false">G36*(A36-B36)</f>
        <v>230.769230769231</v>
      </c>
      <c r="P36" s="279" t="n">
        <f aca="false">(A36-B36)*(I_Cout_ss*$Q$2+C36)</f>
        <v>461.538461538462</v>
      </c>
      <c r="Q36" s="279" t="n">
        <f aca="false">(A36-B36)*(I_Cout_ss*$R$2+C36)</f>
        <v>86.5384615384616</v>
      </c>
    </row>
    <row r="37" customFormat="false" ht="13.2" hidden="false" customHeight="false" outlineLevel="0" collapsed="false">
      <c r="A37" s="279" t="n">
        <f aca="false">VINMAX</f>
        <v>50</v>
      </c>
      <c r="B37" s="289" t="n">
        <f aca="false">VINMAX*((ROW()-10)/104)</f>
        <v>12.9807692307692</v>
      </c>
      <c r="C37" s="290" t="n">
        <f aca="false">IF(B37&gt;=$H$2,IF($D$2="CC", $G$2, B37/$G$2), 0)</f>
        <v>0</v>
      </c>
      <c r="D37" s="291" t="n">
        <f aca="false">B2</f>
        <v>703.333333333333</v>
      </c>
      <c r="E37" s="292" t="n">
        <f aca="false">MIN(D37/(A37-B37),$C$2)</f>
        <v>18.9991341991342</v>
      </c>
      <c r="F37" s="290" t="n">
        <f aca="false">I_Cout_ss+C37</f>
        <v>6.15384615384615</v>
      </c>
      <c r="G37" s="292" t="n">
        <f aca="false">IF($F$2="YES", F37, E37)</f>
        <v>6.15384615384615</v>
      </c>
      <c r="H37" s="290" t="n">
        <f aca="false">G37-C37</f>
        <v>6.15384615384615</v>
      </c>
      <c r="I37" s="293" t="n">
        <f aca="false">(COUTMAX/1000000)*(B37-B36)/H37</f>
        <v>0.000312500000000001</v>
      </c>
      <c r="J37" s="294" t="n">
        <f aca="false">J36+I37</f>
        <v>0.0084375</v>
      </c>
      <c r="K37" s="287" t="n">
        <f aca="false">J37*1000</f>
        <v>8.4375</v>
      </c>
      <c r="L37" s="282" t="n">
        <f aca="false">H37/G37</f>
        <v>1</v>
      </c>
      <c r="M37" s="279" t="n">
        <f aca="false">1/COUTMAX*(E37/2-C37)*1000</f>
        <v>2.37489177489177</v>
      </c>
      <c r="N37" s="279" t="n">
        <f aca="false">I37*G37*(A37-B37)</f>
        <v>0.071190828402367</v>
      </c>
      <c r="O37" s="279" t="n">
        <f aca="false">G37*(A37-B37)</f>
        <v>227.810650887574</v>
      </c>
      <c r="P37" s="279" t="n">
        <f aca="false">(A37-B37)*(I_Cout_ss*$Q$2+C37)</f>
        <v>455.621301775148</v>
      </c>
      <c r="Q37" s="279" t="n">
        <f aca="false">(A37-B37)*(I_Cout_ss*$R$2+C37)</f>
        <v>85.4289940828402</v>
      </c>
    </row>
    <row r="38" customFormat="false" ht="13.2" hidden="false" customHeight="false" outlineLevel="0" collapsed="false">
      <c r="A38" s="279" t="n">
        <f aca="false">VINMAX</f>
        <v>50</v>
      </c>
      <c r="B38" s="289" t="n">
        <f aca="false">VINMAX*((ROW()-10)/104)</f>
        <v>13.4615384615385</v>
      </c>
      <c r="C38" s="290" t="n">
        <f aca="false">IF(B38&gt;=$H$2,IF($D$2="CC", $G$2, B38/$G$2), 0)</f>
        <v>0</v>
      </c>
      <c r="D38" s="291" t="n">
        <f aca="false">B2</f>
        <v>703.333333333333</v>
      </c>
      <c r="E38" s="292" t="n">
        <f aca="false">MIN(D38/(A38-B38),$C$2)</f>
        <v>19.2491228070175</v>
      </c>
      <c r="F38" s="290" t="n">
        <f aca="false">I_Cout_ss+C38</f>
        <v>6.15384615384615</v>
      </c>
      <c r="G38" s="292" t="n">
        <f aca="false">IF($F$2="YES", F38, E38)</f>
        <v>6.15384615384615</v>
      </c>
      <c r="H38" s="290" t="n">
        <f aca="false">G38-C38</f>
        <v>6.15384615384615</v>
      </c>
      <c r="I38" s="293" t="n">
        <f aca="false">(COUTMAX/1000000)*(B38-B37)/H38</f>
        <v>0.000312499999999999</v>
      </c>
      <c r="J38" s="294" t="n">
        <f aca="false">J37+I38</f>
        <v>0.00875</v>
      </c>
      <c r="K38" s="287" t="n">
        <f aca="false">J38*1000</f>
        <v>8.75</v>
      </c>
      <c r="L38" s="282" t="n">
        <f aca="false">H38/G38</f>
        <v>1</v>
      </c>
      <c r="M38" s="279" t="n">
        <f aca="false">1/COUTMAX*(E38/2-C38)*1000</f>
        <v>2.40614035087719</v>
      </c>
      <c r="N38" s="279" t="n">
        <f aca="false">I38*G38*(A38-B38)</f>
        <v>0.070266272189349</v>
      </c>
      <c r="O38" s="279" t="n">
        <f aca="false">G38*(A38-B38)</f>
        <v>224.852071005917</v>
      </c>
      <c r="P38" s="279" t="n">
        <f aca="false">(A38-B38)*(I_Cout_ss*$Q$2+C38)</f>
        <v>449.704142011834</v>
      </c>
      <c r="Q38" s="279" t="n">
        <f aca="false">(A38-B38)*(I_Cout_ss*$R$2+C38)</f>
        <v>84.3195266272189</v>
      </c>
    </row>
    <row r="39" customFormat="false" ht="13.2" hidden="false" customHeight="false" outlineLevel="0" collapsed="false">
      <c r="A39" s="279" t="n">
        <f aca="false">VINMAX</f>
        <v>50</v>
      </c>
      <c r="B39" s="289" t="n">
        <f aca="false">VINMAX*((ROW()-10)/104)</f>
        <v>13.9423076923077</v>
      </c>
      <c r="C39" s="290" t="n">
        <f aca="false">IF(B39&gt;=$H$2,IF($D$2="CC", $G$2, B39/$G$2), 0)</f>
        <v>0</v>
      </c>
      <c r="D39" s="291" t="n">
        <f aca="false">B2</f>
        <v>703.333333333333</v>
      </c>
      <c r="E39" s="292" t="n">
        <f aca="false">MIN(D39/(A39-B39),$C$2)</f>
        <v>19.5057777777778</v>
      </c>
      <c r="F39" s="290" t="n">
        <f aca="false">I_Cout_ss+C39</f>
        <v>6.15384615384615</v>
      </c>
      <c r="G39" s="292" t="n">
        <f aca="false">IF($F$2="YES", F39, E39)</f>
        <v>6.15384615384615</v>
      </c>
      <c r="H39" s="290" t="n">
        <f aca="false">G39-C39</f>
        <v>6.15384615384615</v>
      </c>
      <c r="I39" s="293" t="n">
        <f aca="false">(COUTMAX/1000000)*(B39-B38)/H39</f>
        <v>0.000312500000000001</v>
      </c>
      <c r="J39" s="294" t="n">
        <f aca="false">J38+I39</f>
        <v>0.0090625</v>
      </c>
      <c r="K39" s="287" t="n">
        <f aca="false">J39*1000</f>
        <v>9.0625</v>
      </c>
      <c r="L39" s="282" t="n">
        <f aca="false">H39/G39</f>
        <v>1</v>
      </c>
      <c r="M39" s="279" t="n">
        <f aca="false">1/COUTMAX*(E39/2-C39)*1000</f>
        <v>2.43822222222222</v>
      </c>
      <c r="N39" s="279" t="n">
        <f aca="false">I39*G39*(A39-B39)</f>
        <v>0.0693417159763315</v>
      </c>
      <c r="O39" s="279" t="n">
        <f aca="false">G39*(A39-B39)</f>
        <v>221.89349112426</v>
      </c>
      <c r="P39" s="279" t="n">
        <f aca="false">(A39-B39)*(I_Cout_ss*$Q$2+C39)</f>
        <v>443.786982248521</v>
      </c>
      <c r="Q39" s="279" t="n">
        <f aca="false">(A39-B39)*(I_Cout_ss*$R$2+C39)</f>
        <v>83.2100591715976</v>
      </c>
    </row>
    <row r="40" customFormat="false" ht="13.2" hidden="false" customHeight="false" outlineLevel="0" collapsed="false">
      <c r="A40" s="279" t="n">
        <f aca="false">VINMAX</f>
        <v>50</v>
      </c>
      <c r="B40" s="289" t="n">
        <f aca="false">VINMAX*((ROW()-10)/104)</f>
        <v>14.4230769230769</v>
      </c>
      <c r="C40" s="290" t="n">
        <f aca="false">IF(B40&gt;=$H$2,IF($D$2="CC", $G$2, B40/$G$2), 0)</f>
        <v>0</v>
      </c>
      <c r="D40" s="291" t="n">
        <f aca="false">B2</f>
        <v>703.333333333333</v>
      </c>
      <c r="E40" s="292" t="n">
        <f aca="false">MIN(D40/(A40-B40),$C$2)</f>
        <v>19.7693693693694</v>
      </c>
      <c r="F40" s="290" t="n">
        <f aca="false">I_Cout_ss+C40</f>
        <v>6.15384615384615</v>
      </c>
      <c r="G40" s="292" t="n">
        <f aca="false">IF($F$2="YES", F40, E40)</f>
        <v>6.15384615384615</v>
      </c>
      <c r="H40" s="290" t="n">
        <f aca="false">G40-C40</f>
        <v>6.15384615384615</v>
      </c>
      <c r="I40" s="293" t="n">
        <f aca="false">(COUTMAX/1000000)*(B40-B39)/H40</f>
        <v>0.000312499999999998</v>
      </c>
      <c r="J40" s="294" t="n">
        <f aca="false">J39+I40</f>
        <v>0.009375</v>
      </c>
      <c r="K40" s="287" t="n">
        <f aca="false">J40*1000</f>
        <v>9.375</v>
      </c>
      <c r="L40" s="282" t="n">
        <f aca="false">H40/G40</f>
        <v>1</v>
      </c>
      <c r="M40" s="279" t="n">
        <f aca="false">1/COUTMAX*(E40/2-C40)*1000</f>
        <v>2.47117117117117</v>
      </c>
      <c r="N40" s="279" t="n">
        <f aca="false">I40*G40*(A40-B40)</f>
        <v>0.0684171597633133</v>
      </c>
      <c r="O40" s="279" t="n">
        <f aca="false">G40*(A40-B40)</f>
        <v>218.934911242604</v>
      </c>
      <c r="P40" s="279" t="n">
        <f aca="false">(A40-B40)*(I_Cout_ss*$Q$2+C40)</f>
        <v>437.869822485207</v>
      </c>
      <c r="Q40" s="279" t="n">
        <f aca="false">(A40-B40)*(I_Cout_ss*$R$2+C40)</f>
        <v>82.1005917159764</v>
      </c>
    </row>
    <row r="41" customFormat="false" ht="13.2" hidden="false" customHeight="false" outlineLevel="0" collapsed="false">
      <c r="A41" s="279" t="n">
        <f aca="false">VINMAX</f>
        <v>50</v>
      </c>
      <c r="B41" s="289" t="n">
        <f aca="false">VINMAX*((ROW()-10)/104)</f>
        <v>14.9038461538462</v>
      </c>
      <c r="C41" s="290" t="n">
        <f aca="false">IF(B41&gt;=$H$2,IF($D$2="CC", $G$2, B41/$G$2), 0)</f>
        <v>0</v>
      </c>
      <c r="D41" s="291" t="n">
        <f aca="false">B2</f>
        <v>703.333333333333</v>
      </c>
      <c r="E41" s="292" t="n">
        <f aca="false">MIN(D41/(A41-B41),$C$2)</f>
        <v>20.0401826484018</v>
      </c>
      <c r="F41" s="290" t="n">
        <f aca="false">I_Cout_ss+C41</f>
        <v>6.15384615384615</v>
      </c>
      <c r="G41" s="292" t="n">
        <f aca="false">IF($F$2="YES", F41, E41)</f>
        <v>6.15384615384615</v>
      </c>
      <c r="H41" s="290" t="n">
        <f aca="false">G41-C41</f>
        <v>6.15384615384615</v>
      </c>
      <c r="I41" s="293" t="n">
        <f aca="false">(COUTMAX/1000000)*(B41-B40)/H41</f>
        <v>0.000312500000000001</v>
      </c>
      <c r="J41" s="294" t="n">
        <f aca="false">J40+I41</f>
        <v>0.0096875</v>
      </c>
      <c r="K41" s="287" t="n">
        <f aca="false">J41*1000</f>
        <v>9.6875</v>
      </c>
      <c r="L41" s="282" t="n">
        <f aca="false">H41/G41</f>
        <v>1</v>
      </c>
      <c r="M41" s="279" t="n">
        <f aca="false">1/COUTMAX*(E41/2-C41)*1000</f>
        <v>2.50502283105023</v>
      </c>
      <c r="N41" s="279" t="n">
        <f aca="false">I41*G41*(A41-B41)</f>
        <v>0.067492603550296</v>
      </c>
      <c r="O41" s="279" t="n">
        <f aca="false">G41*(A41-B41)</f>
        <v>215.976331360947</v>
      </c>
      <c r="P41" s="279" t="n">
        <f aca="false">(A41-B41)*(I_Cout_ss*$Q$2+C41)</f>
        <v>431.952662721894</v>
      </c>
      <c r="Q41" s="279" t="n">
        <f aca="false">(A41-B41)*(I_Cout_ss*$R$2+C41)</f>
        <v>80.991124260355</v>
      </c>
    </row>
    <row r="42" customFormat="false" ht="13.2" hidden="false" customHeight="false" outlineLevel="0" collapsed="false">
      <c r="A42" s="279" t="n">
        <f aca="false">VINMAX</f>
        <v>50</v>
      </c>
      <c r="B42" s="289" t="n">
        <f aca="false">VINMAX*((ROW()-10)/104)</f>
        <v>15.3846153846154</v>
      </c>
      <c r="C42" s="290" t="n">
        <f aca="false">IF(B42&gt;=$H$2,IF($D$2="CC", $G$2, B42/$G$2), 0)</f>
        <v>0</v>
      </c>
      <c r="D42" s="291" t="n">
        <f aca="false">B2</f>
        <v>703.333333333333</v>
      </c>
      <c r="E42" s="292" t="n">
        <f aca="false">MIN(D42/(A42-B42),$C$2)</f>
        <v>20.3185185185185</v>
      </c>
      <c r="F42" s="290" t="n">
        <f aca="false">I_Cout_ss+C42</f>
        <v>6.15384615384615</v>
      </c>
      <c r="G42" s="292" t="n">
        <f aca="false">IF($F$2="YES", F42, E42)</f>
        <v>6.15384615384615</v>
      </c>
      <c r="H42" s="290" t="n">
        <f aca="false">G42-C42</f>
        <v>6.15384615384615</v>
      </c>
      <c r="I42" s="293" t="n">
        <f aca="false">(COUTMAX/1000000)*(B42-B41)/H42</f>
        <v>0.000312500000000001</v>
      </c>
      <c r="J42" s="294" t="n">
        <f aca="false">J41+I42</f>
        <v>0.01</v>
      </c>
      <c r="K42" s="287" t="n">
        <f aca="false">J42*1000</f>
        <v>10</v>
      </c>
      <c r="L42" s="282" t="n">
        <f aca="false">H42/G42</f>
        <v>1</v>
      </c>
      <c r="M42" s="279" t="n">
        <f aca="false">1/COUTMAX*(E42/2-C42)*1000</f>
        <v>2.53981481481481</v>
      </c>
      <c r="N42" s="279" t="n">
        <f aca="false">I42*G42*(A42-B42)</f>
        <v>0.0665680473372782</v>
      </c>
      <c r="O42" s="279" t="n">
        <f aca="false">G42*(A42-B42)</f>
        <v>213.01775147929</v>
      </c>
      <c r="P42" s="279" t="n">
        <f aca="false">(A42-B42)*(I_Cout_ss*$Q$2+C42)</f>
        <v>426.03550295858</v>
      </c>
      <c r="Q42" s="279" t="n">
        <f aca="false">(A42-B42)*(I_Cout_ss*$R$2+C42)</f>
        <v>79.8816568047337</v>
      </c>
    </row>
    <row r="43" customFormat="false" ht="13.2" hidden="false" customHeight="false" outlineLevel="0" collapsed="false">
      <c r="A43" s="279" t="n">
        <f aca="false">VINMAX</f>
        <v>50</v>
      </c>
      <c r="B43" s="289" t="n">
        <f aca="false">VINMAX*((ROW()-10)/104)</f>
        <v>15.8653846153846</v>
      </c>
      <c r="C43" s="290" t="n">
        <f aca="false">IF(B43&gt;=$H$2,IF($D$2="CC", $G$2, B43/$G$2), 0)</f>
        <v>0</v>
      </c>
      <c r="D43" s="291" t="n">
        <f aca="false">B2</f>
        <v>703.333333333333</v>
      </c>
      <c r="E43" s="292" t="n">
        <f aca="false">MIN(D43/(A43-B43),$C$2)</f>
        <v>20.6046948356807</v>
      </c>
      <c r="F43" s="290" t="n">
        <f aca="false">I_Cout_ss+C43</f>
        <v>6.15384615384615</v>
      </c>
      <c r="G43" s="292" t="n">
        <f aca="false">IF($F$2="YES", F43, E43)</f>
        <v>6.15384615384615</v>
      </c>
      <c r="H43" s="290" t="n">
        <f aca="false">G43-C43</f>
        <v>6.15384615384615</v>
      </c>
      <c r="I43" s="293" t="n">
        <f aca="false">(COUTMAX/1000000)*(B43-B42)/H43</f>
        <v>0.000312499999999999</v>
      </c>
      <c r="J43" s="294" t="n">
        <f aca="false">J42+I43</f>
        <v>0.0103125</v>
      </c>
      <c r="K43" s="287" t="n">
        <f aca="false">J43*1000</f>
        <v>10.3125</v>
      </c>
      <c r="L43" s="282" t="n">
        <f aca="false">H43/G43</f>
        <v>1</v>
      </c>
      <c r="M43" s="279" t="n">
        <f aca="false">1/COUTMAX*(E43/2-C43)*1000</f>
        <v>2.57558685446009</v>
      </c>
      <c r="N43" s="279" t="n">
        <f aca="false">I43*G43*(A43-B43)</f>
        <v>0.0656434911242603</v>
      </c>
      <c r="O43" s="279" t="n">
        <f aca="false">G43*(A43-B43)</f>
        <v>210.059171597633</v>
      </c>
      <c r="P43" s="279" t="n">
        <f aca="false">(A43-B43)*(I_Cout_ss*$Q$2+C43)</f>
        <v>420.118343195266</v>
      </c>
      <c r="Q43" s="279" t="n">
        <f aca="false">(A43-B43)*(I_Cout_ss*$R$2+C43)</f>
        <v>78.7721893491124</v>
      </c>
    </row>
    <row r="44" customFormat="false" ht="13.2" hidden="false" customHeight="false" outlineLevel="0" collapsed="false">
      <c r="A44" s="279" t="n">
        <f aca="false">VINMAX</f>
        <v>50</v>
      </c>
      <c r="B44" s="289" t="n">
        <f aca="false">VINMAX*((ROW()-10)/104)</f>
        <v>16.3461538461538</v>
      </c>
      <c r="C44" s="290" t="n">
        <f aca="false">IF(B44&gt;=$H$2,IF($D$2="CC", $G$2, B44/$G$2), 0)</f>
        <v>0</v>
      </c>
      <c r="D44" s="291" t="n">
        <f aca="false">B2</f>
        <v>703.333333333333</v>
      </c>
      <c r="E44" s="292" t="n">
        <f aca="false">MIN(D44/(A44-B44),$C$2)</f>
        <v>20.8990476190476</v>
      </c>
      <c r="F44" s="290" t="n">
        <f aca="false">I_Cout_ss+C44</f>
        <v>6.15384615384615</v>
      </c>
      <c r="G44" s="292" t="n">
        <f aca="false">IF($F$2="YES", F44, E44)</f>
        <v>6.15384615384615</v>
      </c>
      <c r="H44" s="290" t="n">
        <f aca="false">G44-C44</f>
        <v>6.15384615384615</v>
      </c>
      <c r="I44" s="293" t="n">
        <f aca="false">(COUTMAX/1000000)*(B44-B43)/H44</f>
        <v>0.000312500000000001</v>
      </c>
      <c r="J44" s="294" t="n">
        <f aca="false">J43+I44</f>
        <v>0.010625</v>
      </c>
      <c r="K44" s="287" t="n">
        <f aca="false">J44*1000</f>
        <v>10.625</v>
      </c>
      <c r="L44" s="282" t="n">
        <f aca="false">H44/G44</f>
        <v>1</v>
      </c>
      <c r="M44" s="279" t="n">
        <f aca="false">1/COUTMAX*(E44/2-C44)*1000</f>
        <v>2.61238095238095</v>
      </c>
      <c r="N44" s="279" t="n">
        <f aca="false">I44*G44*(A44-B44)</f>
        <v>0.0647189349112427</v>
      </c>
      <c r="O44" s="279" t="n">
        <f aca="false">G44*(A44-B44)</f>
        <v>207.100591715976</v>
      </c>
      <c r="P44" s="279" t="n">
        <f aca="false">(A44-B44)*(I_Cout_ss*$Q$2+C44)</f>
        <v>414.201183431953</v>
      </c>
      <c r="Q44" s="279" t="n">
        <f aca="false">(A44-B44)*(I_Cout_ss*$R$2+C44)</f>
        <v>77.6627218934911</v>
      </c>
    </row>
    <row r="45" customFormat="false" ht="13.2" hidden="false" customHeight="false" outlineLevel="0" collapsed="false">
      <c r="A45" s="279" t="n">
        <f aca="false">VINMAX</f>
        <v>50</v>
      </c>
      <c r="B45" s="289" t="n">
        <f aca="false">VINMAX*((ROW()-10)/104)</f>
        <v>16.8269230769231</v>
      </c>
      <c r="C45" s="290" t="n">
        <f aca="false">IF(B45&gt;=$H$2,IF($D$2="CC", $G$2, B45/$G$2), 0)</f>
        <v>0</v>
      </c>
      <c r="D45" s="291" t="n">
        <f aca="false">B2</f>
        <v>703.333333333333</v>
      </c>
      <c r="E45" s="292" t="n">
        <f aca="false">MIN(D45/(A45-B45),$C$2)</f>
        <v>21.2019323671498</v>
      </c>
      <c r="F45" s="290" t="n">
        <f aca="false">I_Cout_ss+C45</f>
        <v>6.15384615384615</v>
      </c>
      <c r="G45" s="292" t="n">
        <f aca="false">IF($F$2="YES", F45, E45)</f>
        <v>6.15384615384615</v>
      </c>
      <c r="H45" s="290" t="n">
        <f aca="false">G45-C45</f>
        <v>6.15384615384615</v>
      </c>
      <c r="I45" s="293" t="n">
        <f aca="false">(COUTMAX/1000000)*(B45-B44)/H45</f>
        <v>0.000312499999999999</v>
      </c>
      <c r="J45" s="294" t="n">
        <f aca="false">J44+I45</f>
        <v>0.0109375</v>
      </c>
      <c r="K45" s="287" t="n">
        <f aca="false">J45*1000</f>
        <v>10.9375</v>
      </c>
      <c r="L45" s="282" t="n">
        <f aca="false">H45/G45</f>
        <v>1</v>
      </c>
      <c r="M45" s="279" t="n">
        <f aca="false">1/COUTMAX*(E45/2-C45)*1000</f>
        <v>2.65024154589372</v>
      </c>
      <c r="N45" s="279" t="n">
        <f aca="false">I45*G45*(A45-B45)</f>
        <v>0.0637943786982247</v>
      </c>
      <c r="O45" s="279" t="n">
        <f aca="false">G45*(A45-B45)</f>
        <v>204.14201183432</v>
      </c>
      <c r="P45" s="279" t="n">
        <f aca="false">(A45-B45)*(I_Cout_ss*$Q$2+C45)</f>
        <v>408.284023668639</v>
      </c>
      <c r="Q45" s="279" t="n">
        <f aca="false">(A45-B45)*(I_Cout_ss*$R$2+C45)</f>
        <v>76.5532544378698</v>
      </c>
    </row>
    <row r="46" customFormat="false" ht="13.2" hidden="false" customHeight="false" outlineLevel="0" collapsed="false">
      <c r="A46" s="279" t="n">
        <f aca="false">VINMAX</f>
        <v>50</v>
      </c>
      <c r="B46" s="289" t="n">
        <f aca="false">VINMAX*((ROW()-10)/104)</f>
        <v>17.3076923076923</v>
      </c>
      <c r="C46" s="290" t="n">
        <f aca="false">IF(B46&gt;=$H$2,IF($D$2="CC", $G$2, B46/$G$2), 0)</f>
        <v>0</v>
      </c>
      <c r="D46" s="291" t="n">
        <f aca="false">B2</f>
        <v>703.333333333333</v>
      </c>
      <c r="E46" s="292" t="n">
        <f aca="false">MIN(D46/(A46-B46),$C$2)</f>
        <v>21.5137254901961</v>
      </c>
      <c r="F46" s="290" t="n">
        <f aca="false">I_Cout_ss+C46</f>
        <v>6.15384615384615</v>
      </c>
      <c r="G46" s="292" t="n">
        <f aca="false">IF($F$2="YES", F46, E46)</f>
        <v>6.15384615384615</v>
      </c>
      <c r="H46" s="290" t="n">
        <f aca="false">G46-C46</f>
        <v>6.15384615384615</v>
      </c>
      <c r="I46" s="293" t="n">
        <f aca="false">(COUTMAX/1000000)*(B46-B45)/H46</f>
        <v>0.000312499999999999</v>
      </c>
      <c r="J46" s="294" t="n">
        <f aca="false">J45+I46</f>
        <v>0.01125</v>
      </c>
      <c r="K46" s="287" t="n">
        <f aca="false">J46*1000</f>
        <v>11.25</v>
      </c>
      <c r="L46" s="282" t="n">
        <f aca="false">H46/G46</f>
        <v>1</v>
      </c>
      <c r="M46" s="279" t="n">
        <f aca="false">1/COUTMAX*(E46/2-C46)*1000</f>
        <v>2.68921568627451</v>
      </c>
      <c r="N46" s="279" t="n">
        <f aca="false">I46*G46*(A46-B46)</f>
        <v>0.062869822485207</v>
      </c>
      <c r="O46" s="279" t="n">
        <f aca="false">G46*(A46-B46)</f>
        <v>201.183431952663</v>
      </c>
      <c r="P46" s="279" t="n">
        <f aca="false">(A46-B46)*(I_Cout_ss*$Q$2+C46)</f>
        <v>402.366863905325</v>
      </c>
      <c r="Q46" s="279" t="n">
        <f aca="false">(A46-B46)*(I_Cout_ss*$R$2+C46)</f>
        <v>75.4437869822485</v>
      </c>
    </row>
    <row r="47" customFormat="false" ht="13.2" hidden="false" customHeight="false" outlineLevel="0" collapsed="false">
      <c r="A47" s="279" t="n">
        <f aca="false">VINMAX</f>
        <v>50</v>
      </c>
      <c r="B47" s="289" t="n">
        <f aca="false">VINMAX*((ROW()-10)/104)</f>
        <v>17.7884615384615</v>
      </c>
      <c r="C47" s="290" t="n">
        <f aca="false">IF(B47&gt;=$H$2,IF($D$2="CC", $G$2, B47/$G$2), 0)</f>
        <v>0</v>
      </c>
      <c r="D47" s="291" t="n">
        <f aca="false">B2</f>
        <v>703.333333333333</v>
      </c>
      <c r="E47" s="292" t="n">
        <f aca="false">MIN(D47/(A47-B47),$C$2)</f>
        <v>21.8348258706468</v>
      </c>
      <c r="F47" s="290" t="n">
        <f aca="false">I_Cout_ss+C47</f>
        <v>6.15384615384615</v>
      </c>
      <c r="G47" s="292" t="n">
        <f aca="false">IF($F$2="YES", F47, E47)</f>
        <v>6.15384615384615</v>
      </c>
      <c r="H47" s="290" t="n">
        <f aca="false">G47-C47</f>
        <v>6.15384615384615</v>
      </c>
      <c r="I47" s="293" t="n">
        <f aca="false">(COUTMAX/1000000)*(B47-B46)/H47</f>
        <v>0.000312500000000002</v>
      </c>
      <c r="J47" s="294" t="n">
        <f aca="false">J46+I47</f>
        <v>0.0115625</v>
      </c>
      <c r="K47" s="287" t="n">
        <f aca="false">J47*1000</f>
        <v>11.5625</v>
      </c>
      <c r="L47" s="282" t="n">
        <f aca="false">H47/G47</f>
        <v>1</v>
      </c>
      <c r="M47" s="279" t="n">
        <f aca="false">1/COUTMAX*(E47/2-C47)*1000</f>
        <v>2.72935323383085</v>
      </c>
      <c r="N47" s="279" t="n">
        <f aca="false">I47*G47*(A47-B47)</f>
        <v>0.0619452662721897</v>
      </c>
      <c r="O47" s="279" t="n">
        <f aca="false">G47*(A47-B47)</f>
        <v>198.224852071006</v>
      </c>
      <c r="P47" s="279" t="n">
        <f aca="false">(A47-B47)*(I_Cout_ss*$Q$2+C47)</f>
        <v>396.449704142012</v>
      </c>
      <c r="Q47" s="279" t="n">
        <f aca="false">(A47-B47)*(I_Cout_ss*$R$2+C47)</f>
        <v>74.3343195266272</v>
      </c>
    </row>
    <row r="48" customFormat="false" ht="13.2" hidden="false" customHeight="false" outlineLevel="0" collapsed="false">
      <c r="A48" s="279" t="n">
        <f aca="false">VINMAX</f>
        <v>50</v>
      </c>
      <c r="B48" s="289" t="n">
        <f aca="false">VINMAX*((ROW()-10)/104)</f>
        <v>18.2692307692308</v>
      </c>
      <c r="C48" s="290" t="n">
        <f aca="false">IF(B48&gt;=$H$2,IF($D$2="CC", $G$2, B48/$G$2), 0)</f>
        <v>0</v>
      </c>
      <c r="D48" s="291" t="n">
        <f aca="false">B2</f>
        <v>703.333333333333</v>
      </c>
      <c r="E48" s="292" t="n">
        <f aca="false">MIN(D48/(A48-B48),$C$2)</f>
        <v>22.1656565656566</v>
      </c>
      <c r="F48" s="290" t="n">
        <f aca="false">I_Cout_ss+C48</f>
        <v>6.15384615384615</v>
      </c>
      <c r="G48" s="292" t="n">
        <f aca="false">IF($F$2="YES", F48, E48)</f>
        <v>6.15384615384615</v>
      </c>
      <c r="H48" s="290" t="n">
        <f aca="false">G48-C48</f>
        <v>6.15384615384615</v>
      </c>
      <c r="I48" s="293" t="n">
        <f aca="false">(COUTMAX/1000000)*(B48-B47)/H48</f>
        <v>0.000312499999999997</v>
      </c>
      <c r="J48" s="294" t="n">
        <f aca="false">J47+I48</f>
        <v>0.011875</v>
      </c>
      <c r="K48" s="287" t="n">
        <f aca="false">J48*1000</f>
        <v>11.875</v>
      </c>
      <c r="L48" s="282" t="n">
        <f aca="false">H48/G48</f>
        <v>1</v>
      </c>
      <c r="M48" s="279" t="n">
        <f aca="false">1/COUTMAX*(E48/2-C48)*1000</f>
        <v>2.77070707070707</v>
      </c>
      <c r="N48" s="279" t="n">
        <f aca="false">I48*G48*(A48-B48)</f>
        <v>0.061020710059171</v>
      </c>
      <c r="O48" s="279" t="n">
        <f aca="false">G48*(A48-B48)</f>
        <v>195.266272189349</v>
      </c>
      <c r="P48" s="279" t="n">
        <f aca="false">(A48-B48)*(I_Cout_ss*$Q$2+C48)</f>
        <v>390.532544378698</v>
      </c>
      <c r="Q48" s="279" t="n">
        <f aca="false">(A48-B48)*(I_Cout_ss*$R$2+C48)</f>
        <v>73.2248520710059</v>
      </c>
    </row>
    <row r="49" customFormat="false" ht="13.2" hidden="false" customHeight="false" outlineLevel="0" collapsed="false">
      <c r="A49" s="279" t="n">
        <f aca="false">VINMAX</f>
        <v>50</v>
      </c>
      <c r="B49" s="289" t="n">
        <f aca="false">VINMAX*((ROW()-10)/104)</f>
        <v>18.75</v>
      </c>
      <c r="C49" s="290" t="n">
        <f aca="false">IF(B49&gt;=$H$2,IF($D$2="CC", $G$2, B49/$G$2), 0)</f>
        <v>0</v>
      </c>
      <c r="D49" s="291" t="n">
        <f aca="false">B2</f>
        <v>703.333333333333</v>
      </c>
      <c r="E49" s="292" t="n">
        <f aca="false">MIN(D49/(A49-B49),$C$2)</f>
        <v>22.5066666666667</v>
      </c>
      <c r="F49" s="290" t="n">
        <f aca="false">I_Cout_ss+C49</f>
        <v>6.15384615384615</v>
      </c>
      <c r="G49" s="292" t="n">
        <f aca="false">IF($F$2="YES", F49, E49)</f>
        <v>6.15384615384615</v>
      </c>
      <c r="H49" s="290" t="n">
        <f aca="false">G49-C49</f>
        <v>6.15384615384615</v>
      </c>
      <c r="I49" s="293" t="n">
        <f aca="false">(COUTMAX/1000000)*(B49-B48)/H49</f>
        <v>0.000312500000000002</v>
      </c>
      <c r="J49" s="294" t="n">
        <f aca="false">J48+I49</f>
        <v>0.0121875</v>
      </c>
      <c r="K49" s="287" t="n">
        <f aca="false">J49*1000</f>
        <v>12.1875</v>
      </c>
      <c r="L49" s="282" t="n">
        <f aca="false">H49/G49</f>
        <v>1</v>
      </c>
      <c r="M49" s="279" t="n">
        <f aca="false">1/COUTMAX*(E49/2-C49)*1000</f>
        <v>2.81333333333333</v>
      </c>
      <c r="N49" s="279" t="n">
        <f aca="false">I49*G49*(A49-B49)</f>
        <v>0.0600961538461542</v>
      </c>
      <c r="O49" s="279" t="n">
        <f aca="false">G49*(A49-B49)</f>
        <v>192.307692307692</v>
      </c>
      <c r="P49" s="279" t="n">
        <f aca="false">(A49-B49)*(I_Cout_ss*$Q$2+C49)</f>
        <v>384.615384615385</v>
      </c>
      <c r="Q49" s="279" t="n">
        <f aca="false">(A49-B49)*(I_Cout_ss*$R$2+C49)</f>
        <v>72.1153846153846</v>
      </c>
    </row>
    <row r="50" customFormat="false" ht="13.2" hidden="false" customHeight="false" outlineLevel="0" collapsed="false">
      <c r="A50" s="279" t="n">
        <f aca="false">VINMAX</f>
        <v>50</v>
      </c>
      <c r="B50" s="289" t="n">
        <f aca="false">VINMAX*((ROW()-10)/104)</f>
        <v>19.2307692307692</v>
      </c>
      <c r="C50" s="290" t="n">
        <f aca="false">IF(B50&gt;=$H$2,IF($D$2="CC", $G$2, B50/$G$2), 0)</f>
        <v>0</v>
      </c>
      <c r="D50" s="291" t="n">
        <f aca="false">B2</f>
        <v>703.333333333333</v>
      </c>
      <c r="E50" s="292" t="n">
        <f aca="false">MIN(D50/(A50-B50),$C$2)</f>
        <v>22.8583333333333</v>
      </c>
      <c r="F50" s="290" t="n">
        <f aca="false">I_Cout_ss+C50</f>
        <v>6.15384615384615</v>
      </c>
      <c r="G50" s="292" t="n">
        <f aca="false">IF($F$2="YES", F50, E50)</f>
        <v>6.15384615384615</v>
      </c>
      <c r="H50" s="290" t="n">
        <f aca="false">G50-C50</f>
        <v>6.15384615384615</v>
      </c>
      <c r="I50" s="293" t="n">
        <f aca="false">(COUTMAX/1000000)*(B50-B49)/H50</f>
        <v>0.000312500000000002</v>
      </c>
      <c r="J50" s="294" t="n">
        <f aca="false">J49+I50</f>
        <v>0.0125</v>
      </c>
      <c r="K50" s="287" t="n">
        <f aca="false">J50*1000</f>
        <v>12.5</v>
      </c>
      <c r="L50" s="282" t="n">
        <f aca="false">H50/G50</f>
        <v>1</v>
      </c>
      <c r="M50" s="279" t="n">
        <f aca="false">1/COUTMAX*(E50/2-C50)*1000</f>
        <v>2.85729166666667</v>
      </c>
      <c r="N50" s="279" t="n">
        <f aca="false">I50*G50*(A50-B50)</f>
        <v>0.0591715976331364</v>
      </c>
      <c r="O50" s="279" t="n">
        <f aca="false">G50*(A50-B50)</f>
        <v>189.349112426036</v>
      </c>
      <c r="P50" s="279" t="n">
        <f aca="false">(A50-B50)*(I_Cout_ss*$Q$2+C50)</f>
        <v>378.698224852071</v>
      </c>
      <c r="Q50" s="279" t="n">
        <f aca="false">(A50-B50)*(I_Cout_ss*$R$2+C50)</f>
        <v>71.0059171597633</v>
      </c>
    </row>
    <row r="51" customFormat="false" ht="13.2" hidden="false" customHeight="false" outlineLevel="0" collapsed="false">
      <c r="A51" s="279" t="n">
        <f aca="false">VINMAX</f>
        <v>50</v>
      </c>
      <c r="B51" s="289" t="n">
        <f aca="false">VINMAX*((ROW()-10)/104)</f>
        <v>19.7115384615385</v>
      </c>
      <c r="C51" s="290" t="n">
        <f aca="false">IF(B51&gt;=$H$2,IF($D$2="CC", $G$2, B51/$G$2), 0)</f>
        <v>0</v>
      </c>
      <c r="D51" s="291" t="n">
        <f aca="false">B2</f>
        <v>703.333333333333</v>
      </c>
      <c r="E51" s="292" t="n">
        <f aca="false">MIN(D51/(A51-B51),$C$2)</f>
        <v>23.221164021164</v>
      </c>
      <c r="F51" s="290" t="n">
        <f aca="false">I_Cout_ss+C51</f>
        <v>6.15384615384615</v>
      </c>
      <c r="G51" s="292" t="n">
        <f aca="false">IF($F$2="YES", F51, E51)</f>
        <v>6.15384615384615</v>
      </c>
      <c r="H51" s="290" t="n">
        <f aca="false">G51-C51</f>
        <v>6.15384615384615</v>
      </c>
      <c r="I51" s="293" t="n">
        <f aca="false">(COUTMAX/1000000)*(B51-B50)/H51</f>
        <v>0.000312499999999997</v>
      </c>
      <c r="J51" s="294" t="n">
        <f aca="false">J50+I51</f>
        <v>0.0128125</v>
      </c>
      <c r="K51" s="287" t="n">
        <f aca="false">J51*1000</f>
        <v>12.8125</v>
      </c>
      <c r="L51" s="282" t="n">
        <f aca="false">H51/G51</f>
        <v>1</v>
      </c>
      <c r="M51" s="279" t="n">
        <f aca="false">1/COUTMAX*(E51/2-C51)*1000</f>
        <v>2.9026455026455</v>
      </c>
      <c r="N51" s="279" t="n">
        <f aca="false">I51*G51*(A51-B51)</f>
        <v>0.0582470414201178</v>
      </c>
      <c r="O51" s="279" t="n">
        <f aca="false">G51*(A51-B51)</f>
        <v>186.390532544379</v>
      </c>
      <c r="P51" s="279" t="n">
        <f aca="false">(A51-B51)*(I_Cout_ss*$Q$2+C51)</f>
        <v>372.781065088757</v>
      </c>
      <c r="Q51" s="279" t="n">
        <f aca="false">(A51-B51)*(I_Cout_ss*$R$2+C51)</f>
        <v>69.896449704142</v>
      </c>
    </row>
    <row r="52" customFormat="false" ht="13.2" hidden="false" customHeight="false" outlineLevel="0" collapsed="false">
      <c r="A52" s="279" t="n">
        <f aca="false">VINMAX</f>
        <v>50</v>
      </c>
      <c r="B52" s="289" t="n">
        <f aca="false">VINMAX*((ROW()-10)/104)</f>
        <v>20.1923076923077</v>
      </c>
      <c r="C52" s="290" t="n">
        <f aca="false">IF(B52&gt;=$H$2,IF($D$2="CC", $G$2, B52/$G$2), 0)</f>
        <v>0</v>
      </c>
      <c r="D52" s="291" t="n">
        <f aca="false">B2</f>
        <v>703.333333333333</v>
      </c>
      <c r="E52" s="292" t="n">
        <f aca="false">MIN(D52/(A52-B52),$C$2)</f>
        <v>23.5956989247312</v>
      </c>
      <c r="F52" s="290" t="n">
        <f aca="false">I_Cout_ss+C52</f>
        <v>6.15384615384615</v>
      </c>
      <c r="G52" s="292" t="n">
        <f aca="false">IF($F$2="YES", F52, E52)</f>
        <v>6.15384615384615</v>
      </c>
      <c r="H52" s="290" t="n">
        <f aca="false">G52-C52</f>
        <v>6.15384615384615</v>
      </c>
      <c r="I52" s="293" t="n">
        <f aca="false">(COUTMAX/1000000)*(B52-B51)/H52</f>
        <v>0.000312500000000002</v>
      </c>
      <c r="J52" s="294" t="n">
        <f aca="false">J51+I52</f>
        <v>0.013125</v>
      </c>
      <c r="K52" s="287" t="n">
        <f aca="false">J52*1000</f>
        <v>13.125</v>
      </c>
      <c r="L52" s="282" t="n">
        <f aca="false">H52/G52</f>
        <v>1</v>
      </c>
      <c r="M52" s="279" t="n">
        <f aca="false">1/COUTMAX*(E52/2-C52)*1000</f>
        <v>2.9494623655914</v>
      </c>
      <c r="N52" s="279" t="n">
        <f aca="false">I52*G52*(A52-B52)</f>
        <v>0.0573224852071009</v>
      </c>
      <c r="O52" s="279" t="n">
        <f aca="false">G52*(A52-B52)</f>
        <v>183.431952662722</v>
      </c>
      <c r="P52" s="279" t="n">
        <f aca="false">(A52-B52)*(I_Cout_ss*$Q$2+C52)</f>
        <v>366.863905325444</v>
      </c>
      <c r="Q52" s="279" t="n">
        <f aca="false">(A52-B52)*(I_Cout_ss*$R$2+C52)</f>
        <v>68.7869822485207</v>
      </c>
    </row>
    <row r="53" customFormat="false" ht="13.2" hidden="false" customHeight="false" outlineLevel="0" collapsed="false">
      <c r="A53" s="279" t="n">
        <f aca="false">VINMAX</f>
        <v>50</v>
      </c>
      <c r="B53" s="289" t="n">
        <f aca="false">VINMAX*((ROW()-10)/104)</f>
        <v>20.6730769230769</v>
      </c>
      <c r="C53" s="290" t="n">
        <f aca="false">IF(B53&gt;=$H$2,IF($D$2="CC", $G$2, B53/$G$2), 0)</f>
        <v>0</v>
      </c>
      <c r="D53" s="291" t="n">
        <f aca="false">B2</f>
        <v>703.333333333333</v>
      </c>
      <c r="E53" s="292" t="n">
        <f aca="false">MIN(D53/(A53-B53),$C$2)</f>
        <v>23.9825136612022</v>
      </c>
      <c r="F53" s="290" t="n">
        <f aca="false">I_Cout_ss+C53</f>
        <v>6.15384615384615</v>
      </c>
      <c r="G53" s="292" t="n">
        <f aca="false">IF($F$2="YES", F53, E53)</f>
        <v>6.15384615384615</v>
      </c>
      <c r="H53" s="290" t="n">
        <f aca="false">G53-C53</f>
        <v>6.15384615384615</v>
      </c>
      <c r="I53" s="293" t="n">
        <f aca="false">(COUTMAX/1000000)*(B53-B52)/H53</f>
        <v>0.000312499999999999</v>
      </c>
      <c r="J53" s="294" t="n">
        <f aca="false">J52+I53</f>
        <v>0.0134375</v>
      </c>
      <c r="K53" s="287" t="n">
        <f aca="false">J53*1000</f>
        <v>13.4375</v>
      </c>
      <c r="L53" s="282" t="n">
        <f aca="false">H53/G53</f>
        <v>1</v>
      </c>
      <c r="M53" s="279" t="n">
        <f aca="false">1/COUTMAX*(E53/2-C53)*1000</f>
        <v>2.99781420765027</v>
      </c>
      <c r="N53" s="279" t="n">
        <f aca="false">I53*G53*(A53-B53)</f>
        <v>0.0563979289940828</v>
      </c>
      <c r="O53" s="279" t="n">
        <f aca="false">G53*(A53-B53)</f>
        <v>180.473372781065</v>
      </c>
      <c r="P53" s="279" t="n">
        <f aca="false">(A53-B53)*(I_Cout_ss*$Q$2+C53)</f>
        <v>360.94674556213</v>
      </c>
      <c r="Q53" s="279" t="n">
        <f aca="false">(A53-B53)*(I_Cout_ss*$R$2+C53)</f>
        <v>67.6775147928994</v>
      </c>
    </row>
    <row r="54" customFormat="false" ht="13.2" hidden="false" customHeight="false" outlineLevel="0" collapsed="false">
      <c r="A54" s="279" t="n">
        <f aca="false">VINMAX</f>
        <v>50</v>
      </c>
      <c r="B54" s="289" t="n">
        <f aca="false">VINMAX*((ROW()-10)/104)</f>
        <v>21.1538461538462</v>
      </c>
      <c r="C54" s="290" t="n">
        <f aca="false">IF(B54&gt;=$H$2,IF($D$2="CC", $G$2, B54/$G$2), 0)</f>
        <v>0</v>
      </c>
      <c r="D54" s="291" t="n">
        <f aca="false">B2</f>
        <v>703.333333333333</v>
      </c>
      <c r="E54" s="292" t="n">
        <f aca="false">MIN(D54/(A54-B54),$C$2)</f>
        <v>24.3822222222222</v>
      </c>
      <c r="F54" s="290" t="n">
        <f aca="false">I_Cout_ss+C54</f>
        <v>6.15384615384615</v>
      </c>
      <c r="G54" s="292" t="n">
        <f aca="false">IF($F$2="YES", F54, E54)</f>
        <v>6.15384615384615</v>
      </c>
      <c r="H54" s="290" t="n">
        <f aca="false">G54-C54</f>
        <v>6.15384615384615</v>
      </c>
      <c r="I54" s="293" t="n">
        <f aca="false">(COUTMAX/1000000)*(B54-B53)/H54</f>
        <v>0.000312499999999999</v>
      </c>
      <c r="J54" s="294" t="n">
        <f aca="false">J53+I54</f>
        <v>0.01375</v>
      </c>
      <c r="K54" s="287" t="n">
        <f aca="false">J54*1000</f>
        <v>13.75</v>
      </c>
      <c r="L54" s="282" t="n">
        <f aca="false">H54/G54</f>
        <v>1</v>
      </c>
      <c r="M54" s="279" t="n">
        <f aca="false">1/COUTMAX*(E54/2-C54)*1000</f>
        <v>3.04777777777778</v>
      </c>
      <c r="N54" s="279" t="n">
        <f aca="false">I54*G54*(A54-B54)</f>
        <v>0.055473372781065</v>
      </c>
      <c r="O54" s="279" t="n">
        <f aca="false">G54*(A54-B54)</f>
        <v>177.514792899408</v>
      </c>
      <c r="P54" s="279" t="n">
        <f aca="false">(A54-B54)*(I_Cout_ss*$Q$2+C54)</f>
        <v>355.029585798817</v>
      </c>
      <c r="Q54" s="279" t="n">
        <f aca="false">(A54-B54)*(I_Cout_ss*$R$2+C54)</f>
        <v>66.5680473372781</v>
      </c>
    </row>
    <row r="55" customFormat="false" ht="13.2" hidden="false" customHeight="false" outlineLevel="0" collapsed="false">
      <c r="A55" s="279" t="n">
        <f aca="false">VINMAX</f>
        <v>50</v>
      </c>
      <c r="B55" s="289" t="n">
        <f aca="false">VINMAX*((ROW()-10)/104)</f>
        <v>21.6346153846154</v>
      </c>
      <c r="C55" s="290" t="n">
        <f aca="false">IF(B55&gt;=$H$2,IF($D$2="CC", $G$2, B55/$G$2), 0)</f>
        <v>0</v>
      </c>
      <c r="D55" s="291" t="n">
        <f aca="false">B2</f>
        <v>703.333333333333</v>
      </c>
      <c r="E55" s="292" t="n">
        <f aca="false">MIN(D55/(A55-B55),$C$2)</f>
        <v>24.7954802259887</v>
      </c>
      <c r="F55" s="290" t="n">
        <f aca="false">I_Cout_ss+C55</f>
        <v>6.15384615384615</v>
      </c>
      <c r="G55" s="292" t="n">
        <f aca="false">IF($F$2="YES", F55, E55)</f>
        <v>6.15384615384615</v>
      </c>
      <c r="H55" s="290" t="n">
        <f aca="false">G55-C55</f>
        <v>6.15384615384615</v>
      </c>
      <c r="I55" s="293" t="n">
        <f aca="false">(COUTMAX/1000000)*(B55-B54)/H55</f>
        <v>0.000312500000000002</v>
      </c>
      <c r="J55" s="294" t="n">
        <f aca="false">J54+I55</f>
        <v>0.0140625</v>
      </c>
      <c r="K55" s="287" t="n">
        <f aca="false">J55*1000</f>
        <v>14.0625</v>
      </c>
      <c r="L55" s="282" t="n">
        <f aca="false">H55/G55</f>
        <v>1</v>
      </c>
      <c r="M55" s="279" t="n">
        <f aca="false">1/COUTMAX*(E55/2-C55)*1000</f>
        <v>3.09943502824859</v>
      </c>
      <c r="N55" s="279" t="n">
        <f aca="false">I55*G55*(A55-B55)</f>
        <v>0.0545488165680476</v>
      </c>
      <c r="O55" s="279" t="n">
        <f aca="false">G55*(A55-B55)</f>
        <v>174.556213017751</v>
      </c>
      <c r="P55" s="279" t="n">
        <f aca="false">(A55-B55)*(I_Cout_ss*$Q$2+C55)</f>
        <v>349.112426035503</v>
      </c>
      <c r="Q55" s="279" t="n">
        <f aca="false">(A55-B55)*(I_Cout_ss*$R$2+C55)</f>
        <v>65.4585798816568</v>
      </c>
    </row>
    <row r="56" customFormat="false" ht="13.2" hidden="false" customHeight="false" outlineLevel="0" collapsed="false">
      <c r="A56" s="279" t="n">
        <f aca="false">VINMAX</f>
        <v>50</v>
      </c>
      <c r="B56" s="289" t="n">
        <f aca="false">VINMAX*((ROW()-10)/104)</f>
        <v>22.1153846153846</v>
      </c>
      <c r="C56" s="290" t="n">
        <f aca="false">IF(B56&gt;=$H$2,IF($D$2="CC", $G$2, B56/$G$2), 0)</f>
        <v>0</v>
      </c>
      <c r="D56" s="291" t="n">
        <f aca="false">B2</f>
        <v>703.333333333333</v>
      </c>
      <c r="E56" s="292" t="n">
        <f aca="false">MIN(D56/(A56-B56),$C$2)</f>
        <v>25.2229885057471</v>
      </c>
      <c r="F56" s="290" t="n">
        <f aca="false">I_Cout_ss+C56</f>
        <v>6.15384615384615</v>
      </c>
      <c r="G56" s="292" t="n">
        <f aca="false">IF($F$2="YES", F56, E56)</f>
        <v>6.15384615384615</v>
      </c>
      <c r="H56" s="290" t="n">
        <f aca="false">G56-C56</f>
        <v>6.15384615384615</v>
      </c>
      <c r="I56" s="293" t="n">
        <f aca="false">(COUTMAX/1000000)*(B56-B55)/H56</f>
        <v>0.000312499999999997</v>
      </c>
      <c r="J56" s="294" t="n">
        <f aca="false">J55+I56</f>
        <v>0.014375</v>
      </c>
      <c r="K56" s="287" t="n">
        <f aca="false">J56*1000</f>
        <v>14.375</v>
      </c>
      <c r="L56" s="282" t="n">
        <f aca="false">H56/G56</f>
        <v>1</v>
      </c>
      <c r="M56" s="279" t="n">
        <f aca="false">1/COUTMAX*(E56/2-C56)*1000</f>
        <v>3.15287356321839</v>
      </c>
      <c r="N56" s="279" t="n">
        <f aca="false">I56*G56*(A56-B56)</f>
        <v>0.0536242603550291</v>
      </c>
      <c r="O56" s="279" t="n">
        <f aca="false">G56*(A56-B56)</f>
        <v>171.597633136095</v>
      </c>
      <c r="P56" s="279" t="n">
        <f aca="false">(A56-B56)*(I_Cout_ss*$Q$2+C56)</f>
        <v>343.195266272189</v>
      </c>
      <c r="Q56" s="279" t="n">
        <f aca="false">(A56-B56)*(I_Cout_ss*$R$2+C56)</f>
        <v>64.3491124260355</v>
      </c>
    </row>
    <row r="57" customFormat="false" ht="13.2" hidden="false" customHeight="false" outlineLevel="0" collapsed="false">
      <c r="A57" s="279" t="n">
        <f aca="false">VINMAX</f>
        <v>50</v>
      </c>
      <c r="B57" s="289" t="n">
        <f aca="false">VINMAX*((ROW()-10)/104)</f>
        <v>22.5961538461538</v>
      </c>
      <c r="C57" s="290" t="n">
        <f aca="false">IF(B57&gt;=$H$2,IF($D$2="CC", $G$2, B57/$G$2), 0)</f>
        <v>0</v>
      </c>
      <c r="D57" s="291" t="n">
        <f aca="false">B2</f>
        <v>703.333333333333</v>
      </c>
      <c r="E57" s="292" t="n">
        <f aca="false">MIN(D57/(A57-B57),$C$2)</f>
        <v>25.6654970760234</v>
      </c>
      <c r="F57" s="290" t="n">
        <f aca="false">I_Cout_ss+C57</f>
        <v>6.15384615384615</v>
      </c>
      <c r="G57" s="292" t="n">
        <f aca="false">IF($F$2="YES", F57, E57)</f>
        <v>6.15384615384615</v>
      </c>
      <c r="H57" s="290" t="n">
        <f aca="false">G57-C57</f>
        <v>6.15384615384615</v>
      </c>
      <c r="I57" s="293" t="n">
        <f aca="false">(COUTMAX/1000000)*(B57-B56)/H57</f>
        <v>0.000312500000000002</v>
      </c>
      <c r="J57" s="294" t="n">
        <f aca="false">J56+I57</f>
        <v>0.0146875</v>
      </c>
      <c r="K57" s="287" t="n">
        <f aca="false">J57*1000</f>
        <v>14.6875</v>
      </c>
      <c r="L57" s="282" t="n">
        <f aca="false">H57/G57</f>
        <v>1</v>
      </c>
      <c r="M57" s="279" t="n">
        <f aca="false">1/COUTMAX*(E57/2-C57)*1000</f>
        <v>3.20818713450292</v>
      </c>
      <c r="N57" s="279" t="n">
        <f aca="false">I57*G57*(A57-B57)</f>
        <v>0.0526997041420121</v>
      </c>
      <c r="O57" s="279" t="n">
        <f aca="false">G57*(A57-B57)</f>
        <v>168.639053254438</v>
      </c>
      <c r="P57" s="279" t="n">
        <f aca="false">(A57-B57)*(I_Cout_ss*$Q$2+C57)</f>
        <v>337.278106508876</v>
      </c>
      <c r="Q57" s="279" t="n">
        <f aca="false">(A57-B57)*(I_Cout_ss*$R$2+C57)</f>
        <v>63.2396449704142</v>
      </c>
    </row>
    <row r="58" customFormat="false" ht="13.2" hidden="false" customHeight="false" outlineLevel="0" collapsed="false">
      <c r="A58" s="279" t="n">
        <f aca="false">VINMAX</f>
        <v>50</v>
      </c>
      <c r="B58" s="289" t="n">
        <f aca="false">VINMAX*((ROW()-10)/104)</f>
        <v>23.0769230769231</v>
      </c>
      <c r="C58" s="290" t="n">
        <f aca="false">IF(B58&gt;=$H$2,IF($D$2="CC", $G$2, B58/$G$2), 0)</f>
        <v>0</v>
      </c>
      <c r="D58" s="291" t="n">
        <f aca="false">B2</f>
        <v>703.333333333333</v>
      </c>
      <c r="E58" s="292" t="n">
        <f aca="false">MIN(D58/(A58-B58),$C$2)</f>
        <v>26.1238095238095</v>
      </c>
      <c r="F58" s="290" t="n">
        <f aca="false">I_Cout_ss+C58</f>
        <v>6.15384615384615</v>
      </c>
      <c r="G58" s="292" t="n">
        <f aca="false">IF($F$2="YES", F58, E58)</f>
        <v>6.15384615384615</v>
      </c>
      <c r="H58" s="290" t="n">
        <f aca="false">G58-C58</f>
        <v>6.15384615384615</v>
      </c>
      <c r="I58" s="293" t="n">
        <f aca="false">(COUTMAX/1000000)*(B58-B57)/H58</f>
        <v>0.000312499999999999</v>
      </c>
      <c r="J58" s="294" t="n">
        <f aca="false">J57+I58</f>
        <v>0.015</v>
      </c>
      <c r="K58" s="287" t="n">
        <f aca="false">J58*1000</f>
        <v>15</v>
      </c>
      <c r="L58" s="282" t="n">
        <f aca="false">H58/G58</f>
        <v>1</v>
      </c>
      <c r="M58" s="279" t="n">
        <f aca="false">1/COUTMAX*(E58/2-C58)*1000</f>
        <v>3.26547619047619</v>
      </c>
      <c r="N58" s="279" t="n">
        <f aca="false">I58*G58*(A58-B58)</f>
        <v>0.051775147928994</v>
      </c>
      <c r="O58" s="279" t="n">
        <f aca="false">G58*(A58-B58)</f>
        <v>165.680473372781</v>
      </c>
      <c r="P58" s="279" t="n">
        <f aca="false">(A58-B58)*(I_Cout_ss*$Q$2+C58)</f>
        <v>331.360946745562</v>
      </c>
      <c r="Q58" s="279" t="n">
        <f aca="false">(A58-B58)*(I_Cout_ss*$R$2+C58)</f>
        <v>62.1301775147929</v>
      </c>
    </row>
    <row r="59" customFormat="false" ht="13.2" hidden="false" customHeight="false" outlineLevel="0" collapsed="false">
      <c r="A59" s="279" t="n">
        <f aca="false">VINMAX</f>
        <v>50</v>
      </c>
      <c r="B59" s="289" t="n">
        <f aca="false">VINMAX*((ROW()-10)/104)</f>
        <v>23.5576923076923</v>
      </c>
      <c r="C59" s="290" t="n">
        <f aca="false">IF(B59&gt;=$H$2,IF($D$2="CC", $G$2, B59/$G$2), 0)</f>
        <v>0</v>
      </c>
      <c r="D59" s="291" t="n">
        <f aca="false">B2</f>
        <v>703.333333333333</v>
      </c>
      <c r="E59" s="292" t="n">
        <f aca="false">MIN(D59/(A59-B59),$C$2)</f>
        <v>26.5987878787879</v>
      </c>
      <c r="F59" s="290" t="n">
        <f aca="false">I_Cout_ss+C59</f>
        <v>6.15384615384615</v>
      </c>
      <c r="G59" s="292" t="n">
        <f aca="false">IF($F$2="YES", F59, E59)</f>
        <v>6.15384615384615</v>
      </c>
      <c r="H59" s="290" t="n">
        <f aca="false">G59-C59</f>
        <v>6.15384615384615</v>
      </c>
      <c r="I59" s="293" t="n">
        <f aca="false">(COUTMAX/1000000)*(B59-B58)/H59</f>
        <v>0.000312499999999999</v>
      </c>
      <c r="J59" s="294" t="n">
        <f aca="false">J58+I59</f>
        <v>0.0153125</v>
      </c>
      <c r="K59" s="287" t="n">
        <f aca="false">J59*1000</f>
        <v>15.3125</v>
      </c>
      <c r="L59" s="282" t="n">
        <f aca="false">H59/G59</f>
        <v>1</v>
      </c>
      <c r="M59" s="279" t="n">
        <f aca="false">1/COUTMAX*(E59/2-C59)*1000</f>
        <v>3.32484848484848</v>
      </c>
      <c r="N59" s="279" t="n">
        <f aca="false">I59*G59*(A59-B59)</f>
        <v>0.0508505917159763</v>
      </c>
      <c r="O59" s="279" t="n">
        <f aca="false">G59*(A59-B59)</f>
        <v>162.721893491124</v>
      </c>
      <c r="P59" s="279" t="n">
        <f aca="false">(A59-B59)*(I_Cout_ss*$Q$2+C59)</f>
        <v>325.443786982249</v>
      </c>
      <c r="Q59" s="279" t="n">
        <f aca="false">(A59-B59)*(I_Cout_ss*$R$2+C59)</f>
        <v>61.0207100591716</v>
      </c>
    </row>
    <row r="60" customFormat="false" ht="13.2" hidden="false" customHeight="false" outlineLevel="0" collapsed="false">
      <c r="A60" s="279" t="n">
        <f aca="false">VINMAX</f>
        <v>50</v>
      </c>
      <c r="B60" s="289" t="n">
        <f aca="false">VINMAX*((ROW()-10)/104)</f>
        <v>24.0384615384615</v>
      </c>
      <c r="C60" s="290" t="n">
        <f aca="false">IF(B60&gt;=$H$2,IF($D$2="CC", $G$2, B60/$G$2), 0)</f>
        <v>0</v>
      </c>
      <c r="D60" s="291" t="n">
        <f aca="false">B2</f>
        <v>703.333333333333</v>
      </c>
      <c r="E60" s="292" t="n">
        <f aca="false">MIN(D60/(A60-B60),$C$2)</f>
        <v>27.0913580246914</v>
      </c>
      <c r="F60" s="290" t="n">
        <f aca="false">I_Cout_ss+C60</f>
        <v>6.15384615384615</v>
      </c>
      <c r="G60" s="292" t="n">
        <f aca="false">IF($F$2="YES", F60, E60)</f>
        <v>6.15384615384615</v>
      </c>
      <c r="H60" s="290" t="n">
        <f aca="false">G60-C60</f>
        <v>6.15384615384615</v>
      </c>
      <c r="I60" s="293" t="n">
        <f aca="false">(COUTMAX/1000000)*(B60-B59)/H60</f>
        <v>0.000312500000000002</v>
      </c>
      <c r="J60" s="294" t="n">
        <f aca="false">J59+I60</f>
        <v>0.015625</v>
      </c>
      <c r="K60" s="287" t="n">
        <f aca="false">J60*1000</f>
        <v>15.625</v>
      </c>
      <c r="L60" s="282" t="n">
        <f aca="false">H60/G60</f>
        <v>1</v>
      </c>
      <c r="M60" s="279" t="n">
        <f aca="false">1/COUTMAX*(E60/2-C60)*1000</f>
        <v>3.38641975308642</v>
      </c>
      <c r="N60" s="279" t="n">
        <f aca="false">I60*G60*(A60-B60)</f>
        <v>0.0499260355029589</v>
      </c>
      <c r="O60" s="279" t="n">
        <f aca="false">G60*(A60-B60)</f>
        <v>159.763313609467</v>
      </c>
      <c r="P60" s="279" t="n">
        <f aca="false">(A60-B60)*(I_Cout_ss*$Q$2+C60)</f>
        <v>319.526627218935</v>
      </c>
      <c r="Q60" s="279" t="n">
        <f aca="false">(A60-B60)*(I_Cout_ss*$R$2+C60)</f>
        <v>59.9112426035503</v>
      </c>
    </row>
    <row r="61" customFormat="false" ht="13.2" hidden="false" customHeight="false" outlineLevel="0" collapsed="false">
      <c r="A61" s="279" t="n">
        <f aca="false">VINMAX</f>
        <v>50</v>
      </c>
      <c r="B61" s="289" t="n">
        <f aca="false">VINMAX*((ROW()-10)/104)</f>
        <v>24.5192307692308</v>
      </c>
      <c r="C61" s="290" t="n">
        <f aca="false">IF(B61&gt;=$H$2,IF($D$2="CC", $G$2, B61/$G$2), 0)</f>
        <v>0</v>
      </c>
      <c r="D61" s="291" t="n">
        <f aca="false">B2</f>
        <v>703.333333333333</v>
      </c>
      <c r="E61" s="292" t="n">
        <f aca="false">MIN(D61/(A61-B61),$C$2)</f>
        <v>27.6025157232704</v>
      </c>
      <c r="F61" s="290" t="n">
        <f aca="false">I_Cout_ss+C61</f>
        <v>6.15384615384615</v>
      </c>
      <c r="G61" s="292" t="n">
        <f aca="false">IF($F$2="YES", F61, E61)</f>
        <v>6.15384615384615</v>
      </c>
      <c r="H61" s="290" t="n">
        <f aca="false">G61-C61</f>
        <v>6.15384615384615</v>
      </c>
      <c r="I61" s="293" t="n">
        <f aca="false">(COUTMAX/1000000)*(B61-B60)/H61</f>
        <v>0.000312499999999997</v>
      </c>
      <c r="J61" s="294" t="n">
        <f aca="false">J60+I61</f>
        <v>0.0159375</v>
      </c>
      <c r="K61" s="287" t="n">
        <f aca="false">J61*1000</f>
        <v>15.9375</v>
      </c>
      <c r="L61" s="282" t="n">
        <f aca="false">H61/G61</f>
        <v>1</v>
      </c>
      <c r="M61" s="279" t="n">
        <f aca="false">1/COUTMAX*(E61/2-C61)*1000</f>
        <v>3.4503144654088</v>
      </c>
      <c r="N61" s="279" t="n">
        <f aca="false">I61*G61*(A61-B61)</f>
        <v>0.0490014792899404</v>
      </c>
      <c r="O61" s="279" t="n">
        <f aca="false">G61*(A61-B61)</f>
        <v>156.804733727811</v>
      </c>
      <c r="P61" s="279" t="n">
        <f aca="false">(A61-B61)*(I_Cout_ss*$Q$2+C61)</f>
        <v>313.609467455621</v>
      </c>
      <c r="Q61" s="279" t="n">
        <f aca="false">(A61-B61)*(I_Cout_ss*$R$2+C61)</f>
        <v>58.801775147929</v>
      </c>
    </row>
    <row r="62" customFormat="false" ht="13.2" hidden="false" customHeight="false" outlineLevel="0" collapsed="false">
      <c r="A62" s="279" t="n">
        <f aca="false">VINMAX</f>
        <v>50</v>
      </c>
      <c r="B62" s="289" t="n">
        <f aca="false">VINMAX*((ROW()-10)/104)</f>
        <v>25</v>
      </c>
      <c r="C62" s="290" t="n">
        <f aca="false">IF(B62&gt;=$H$2,IF($D$2="CC", $G$2, B62/$G$2), 0)</f>
        <v>0</v>
      </c>
      <c r="D62" s="291" t="n">
        <f aca="false">B2</f>
        <v>703.333333333333</v>
      </c>
      <c r="E62" s="292" t="n">
        <f aca="false">MIN(D62/(A62-B62),$C$2)</f>
        <v>28.1333333333333</v>
      </c>
      <c r="F62" s="290" t="n">
        <f aca="false">I_Cout_ss+C62</f>
        <v>6.15384615384615</v>
      </c>
      <c r="G62" s="292" t="n">
        <f aca="false">IF($F$2="YES", F62, E62)</f>
        <v>6.15384615384615</v>
      </c>
      <c r="H62" s="290" t="n">
        <f aca="false">G62-C62</f>
        <v>6.15384615384615</v>
      </c>
      <c r="I62" s="293" t="n">
        <f aca="false">(COUTMAX/1000000)*(B62-B61)/H62</f>
        <v>0.000312500000000002</v>
      </c>
      <c r="J62" s="294" t="n">
        <f aca="false">J61+I62</f>
        <v>0.01625</v>
      </c>
      <c r="K62" s="287" t="n">
        <f aca="false">J62*1000</f>
        <v>16.25</v>
      </c>
      <c r="L62" s="282" t="n">
        <f aca="false">H62/G62</f>
        <v>1</v>
      </c>
      <c r="M62" s="279" t="n">
        <f aca="false">1/COUTMAX*(E62/2-C62)*1000</f>
        <v>3.51666666666667</v>
      </c>
      <c r="N62" s="279" t="n">
        <f aca="false">I62*G62*(A62-B62)</f>
        <v>0.0480769230769233</v>
      </c>
      <c r="O62" s="279" t="n">
        <f aca="false">G62*(A62-B62)</f>
        <v>153.846153846154</v>
      </c>
      <c r="P62" s="279" t="n">
        <f aca="false">(A62-B62)*(I_Cout_ss*$Q$2+C62)</f>
        <v>307.692307692308</v>
      </c>
      <c r="Q62" s="279" t="n">
        <f aca="false">(A62-B62)*(I_Cout_ss*$R$2+C62)</f>
        <v>57.6923076923077</v>
      </c>
    </row>
    <row r="63" customFormat="false" ht="13.2" hidden="false" customHeight="false" outlineLevel="0" collapsed="false">
      <c r="A63" s="279" t="n">
        <f aca="false">VINMAX</f>
        <v>50</v>
      </c>
      <c r="B63" s="289" t="n">
        <f aca="false">VINMAX*((ROW()-10)/104)</f>
        <v>25.4807692307692</v>
      </c>
      <c r="C63" s="290" t="n">
        <f aca="false">IF(B63&gt;=$H$2,IF($D$2="CC", $G$2, B63/$G$2), 0)</f>
        <v>0</v>
      </c>
      <c r="D63" s="291" t="n">
        <f aca="false">B2</f>
        <v>703.333333333333</v>
      </c>
      <c r="E63" s="292" t="n">
        <f aca="false">MIN(D63/(A63-B63),$C$2)</f>
        <v>28.6849673202614</v>
      </c>
      <c r="F63" s="290" t="n">
        <f aca="false">I_Cout_ss+C63</f>
        <v>6.15384615384615</v>
      </c>
      <c r="G63" s="292" t="n">
        <f aca="false">IF($F$2="YES", F63, E63)</f>
        <v>6.15384615384615</v>
      </c>
      <c r="H63" s="290" t="n">
        <f aca="false">G63-C63</f>
        <v>6.15384615384615</v>
      </c>
      <c r="I63" s="293" t="n">
        <f aca="false">(COUTMAX/1000000)*(B63-B62)/H63</f>
        <v>0.000312499999999999</v>
      </c>
      <c r="J63" s="294" t="n">
        <f aca="false">J62+I63</f>
        <v>0.0165625</v>
      </c>
      <c r="K63" s="287" t="n">
        <f aca="false">J63*1000</f>
        <v>16.5625</v>
      </c>
      <c r="L63" s="282" t="n">
        <f aca="false">H63/G63</f>
        <v>1</v>
      </c>
      <c r="M63" s="279" t="n">
        <f aca="false">1/COUTMAX*(E63/2-C63)*1000</f>
        <v>3.58562091503268</v>
      </c>
      <c r="N63" s="279" t="n">
        <f aca="false">I63*G63*(A63-B63)</f>
        <v>0.0471523668639053</v>
      </c>
      <c r="O63" s="279" t="n">
        <f aca="false">G63*(A63-B63)</f>
        <v>150.887573964497</v>
      </c>
      <c r="P63" s="279" t="n">
        <f aca="false">(A63-B63)*(I_Cout_ss*$Q$2+C63)</f>
        <v>301.775147928994</v>
      </c>
      <c r="Q63" s="279" t="n">
        <f aca="false">(A63-B63)*(I_Cout_ss*$R$2+C63)</f>
        <v>56.5828402366864</v>
      </c>
    </row>
    <row r="64" customFormat="false" ht="13.2" hidden="false" customHeight="false" outlineLevel="0" collapsed="false">
      <c r="A64" s="279" t="n">
        <f aca="false">VINMAX</f>
        <v>50</v>
      </c>
      <c r="B64" s="289" t="n">
        <f aca="false">VINMAX*((ROW()-10)/104)</f>
        <v>25.9615384615385</v>
      </c>
      <c r="C64" s="290" t="n">
        <f aca="false">IF(B64&gt;=$H$2,IF($D$2="CC", $G$2, B64/$G$2), 0)</f>
        <v>0</v>
      </c>
      <c r="D64" s="291" t="n">
        <f aca="false">B2</f>
        <v>703.333333333333</v>
      </c>
      <c r="E64" s="292" t="n">
        <f aca="false">MIN(D64/(A64-B64),$C$2)</f>
        <v>29.2586666666667</v>
      </c>
      <c r="F64" s="290" t="n">
        <f aca="false">I_Cout_ss+C64</f>
        <v>6.15384615384615</v>
      </c>
      <c r="G64" s="292" t="n">
        <f aca="false">IF($F$2="YES", F64, E64)</f>
        <v>6.15384615384615</v>
      </c>
      <c r="H64" s="290" t="n">
        <f aca="false">G64-C64</f>
        <v>6.15384615384615</v>
      </c>
      <c r="I64" s="293" t="n">
        <f aca="false">(COUTMAX/1000000)*(B64-B63)/H64</f>
        <v>0.000312500000000002</v>
      </c>
      <c r="J64" s="294" t="n">
        <f aca="false">J63+I64</f>
        <v>0.016875</v>
      </c>
      <c r="K64" s="287" t="n">
        <f aca="false">J64*1000</f>
        <v>16.875</v>
      </c>
      <c r="L64" s="282" t="n">
        <f aca="false">H64/G64</f>
        <v>1</v>
      </c>
      <c r="M64" s="279" t="n">
        <f aca="false">1/COUTMAX*(E64/2-C64)*1000</f>
        <v>3.65733333333333</v>
      </c>
      <c r="N64" s="279" t="n">
        <f aca="false">I64*G64*(A64-B64)</f>
        <v>0.0462278106508878</v>
      </c>
      <c r="O64" s="279" t="n">
        <f aca="false">G64*(A64-B64)</f>
        <v>147.92899408284</v>
      </c>
      <c r="P64" s="279" t="n">
        <f aca="false">(A64-B64)*(I_Cout_ss*$Q$2+C64)</f>
        <v>295.85798816568</v>
      </c>
      <c r="Q64" s="279" t="n">
        <f aca="false">(A64-B64)*(I_Cout_ss*$R$2+C64)</f>
        <v>55.4733727810651</v>
      </c>
    </row>
    <row r="65" customFormat="false" ht="13.2" hidden="false" customHeight="false" outlineLevel="0" collapsed="false">
      <c r="A65" s="279" t="n">
        <f aca="false">VINMAX</f>
        <v>50</v>
      </c>
      <c r="B65" s="289" t="n">
        <f aca="false">VINMAX*((ROW()-10)/104)</f>
        <v>26.4423076923077</v>
      </c>
      <c r="C65" s="290" t="n">
        <f aca="false">IF(B65&gt;=$H$2,IF($D$2="CC", $G$2, B65/$G$2), 0)</f>
        <v>0</v>
      </c>
      <c r="D65" s="291" t="n">
        <f aca="false">B2</f>
        <v>703.333333333333</v>
      </c>
      <c r="E65" s="292" t="n">
        <f aca="false">MIN(D65/(A65-B65),$C$2)</f>
        <v>29.8557823129252</v>
      </c>
      <c r="F65" s="290" t="n">
        <f aca="false">I_Cout_ss+C65</f>
        <v>6.15384615384615</v>
      </c>
      <c r="G65" s="292" t="n">
        <f aca="false">IF($F$2="YES", F65, E65)</f>
        <v>6.15384615384615</v>
      </c>
      <c r="H65" s="290" t="n">
        <f aca="false">G65-C65</f>
        <v>6.15384615384615</v>
      </c>
      <c r="I65" s="293" t="n">
        <f aca="false">(COUTMAX/1000000)*(B65-B64)/H65</f>
        <v>0.000312499999999999</v>
      </c>
      <c r="J65" s="294" t="n">
        <f aca="false">J64+I65</f>
        <v>0.0171875</v>
      </c>
      <c r="K65" s="287" t="n">
        <f aca="false">J65*1000</f>
        <v>17.1875</v>
      </c>
      <c r="L65" s="282" t="n">
        <f aca="false">H65/G65</f>
        <v>1</v>
      </c>
      <c r="M65" s="279" t="n">
        <f aca="false">1/COUTMAX*(E65/2-C65)*1000</f>
        <v>3.73197278911565</v>
      </c>
      <c r="N65" s="279" t="n">
        <f aca="false">I65*G65*(A65-B65)</f>
        <v>0.0453032544378697</v>
      </c>
      <c r="O65" s="279" t="n">
        <f aca="false">G65*(A65-B65)</f>
        <v>144.970414201183</v>
      </c>
      <c r="P65" s="279" t="n">
        <f aca="false">(A65-B65)*(I_Cout_ss*$Q$2+C65)</f>
        <v>289.940828402367</v>
      </c>
      <c r="Q65" s="279" t="n">
        <f aca="false">(A65-B65)*(I_Cout_ss*$R$2+C65)</f>
        <v>54.3639053254438</v>
      </c>
    </row>
    <row r="66" customFormat="false" ht="13.2" hidden="false" customHeight="false" outlineLevel="0" collapsed="false">
      <c r="A66" s="279" t="n">
        <f aca="false">VINMAX</f>
        <v>50</v>
      </c>
      <c r="B66" s="289" t="n">
        <f aca="false">VINMAX*((ROW()-10)/104)</f>
        <v>26.9230769230769</v>
      </c>
      <c r="C66" s="290" t="n">
        <f aca="false">IF(B66&gt;=$H$2,IF($D$2="CC", $G$2, B66/$G$2), 0)</f>
        <v>0</v>
      </c>
      <c r="D66" s="291" t="n">
        <f aca="false">B2</f>
        <v>703.333333333333</v>
      </c>
      <c r="E66" s="292" t="n">
        <f aca="false">MIN(D66/(A66-B66),$C$2)</f>
        <v>30.4777777777778</v>
      </c>
      <c r="F66" s="290" t="n">
        <f aca="false">I_Cout_ss+C66</f>
        <v>6.15384615384615</v>
      </c>
      <c r="G66" s="292" t="n">
        <f aca="false">IF($F$2="YES", F66, E66)</f>
        <v>6.15384615384615</v>
      </c>
      <c r="H66" s="290" t="n">
        <f aca="false">G66-C66</f>
        <v>6.15384615384615</v>
      </c>
      <c r="I66" s="293" t="n">
        <f aca="false">(COUTMAX/1000000)*(B66-B65)/H66</f>
        <v>0.000312499999999999</v>
      </c>
      <c r="J66" s="294" t="n">
        <f aca="false">J65+I66</f>
        <v>0.0175</v>
      </c>
      <c r="K66" s="287" t="n">
        <f aca="false">J66*1000</f>
        <v>17.5</v>
      </c>
      <c r="L66" s="282" t="n">
        <f aca="false">H66/G66</f>
        <v>1</v>
      </c>
      <c r="M66" s="279" t="n">
        <f aca="false">1/COUTMAX*(E66/2-C66)*1000</f>
        <v>3.80972222222222</v>
      </c>
      <c r="N66" s="279" t="n">
        <f aca="false">I66*G66*(A66-B66)</f>
        <v>0.044378698224852</v>
      </c>
      <c r="O66" s="279" t="n">
        <f aca="false">G66*(A66-B66)</f>
        <v>142.011834319527</v>
      </c>
      <c r="P66" s="279" t="n">
        <f aca="false">(A66-B66)*(I_Cout_ss*$Q$2+C66)</f>
        <v>284.023668639053</v>
      </c>
      <c r="Q66" s="279" t="n">
        <f aca="false">(A66-B66)*(I_Cout_ss*$R$2+C66)</f>
        <v>53.2544378698225</v>
      </c>
    </row>
    <row r="67" customFormat="false" ht="13.2" hidden="false" customHeight="false" outlineLevel="0" collapsed="false">
      <c r="A67" s="279" t="n">
        <f aca="false">VINMAX</f>
        <v>50</v>
      </c>
      <c r="B67" s="289" t="n">
        <f aca="false">VINMAX*((ROW()-10)/104)</f>
        <v>27.4038461538462</v>
      </c>
      <c r="C67" s="290" t="n">
        <f aca="false">IF(B67&gt;=$H$2,IF($D$2="CC", $G$2, B67/$G$2), 0)</f>
        <v>0</v>
      </c>
      <c r="D67" s="291" t="n">
        <f aca="false">B2</f>
        <v>703.333333333333</v>
      </c>
      <c r="E67" s="292" t="n">
        <f aca="false">MIN(D67/(A67-B67),$C$2)</f>
        <v>31.1262411347518</v>
      </c>
      <c r="F67" s="290" t="n">
        <f aca="false">I_Cout_ss+C67</f>
        <v>6.15384615384615</v>
      </c>
      <c r="G67" s="292" t="n">
        <f aca="false">IF($F$2="YES", F67, E67)</f>
        <v>6.15384615384615</v>
      </c>
      <c r="H67" s="290" t="n">
        <f aca="false">G67-C67</f>
        <v>6.15384615384615</v>
      </c>
      <c r="I67" s="293" t="n">
        <f aca="false">(COUTMAX/1000000)*(B67-B66)/H67</f>
        <v>0.000312500000000002</v>
      </c>
      <c r="J67" s="294" t="n">
        <f aca="false">J66+I67</f>
        <v>0.0178125</v>
      </c>
      <c r="K67" s="287" t="n">
        <f aca="false">J67*1000</f>
        <v>17.8125</v>
      </c>
      <c r="L67" s="282" t="n">
        <f aca="false">H67/G67</f>
        <v>1</v>
      </c>
      <c r="M67" s="279" t="n">
        <f aca="false">1/COUTMAX*(E67/2-C67)*1000</f>
        <v>3.89078014184397</v>
      </c>
      <c r="N67" s="279" t="n">
        <f aca="false">I67*G67*(A67-B67)</f>
        <v>0.0434541420118346</v>
      </c>
      <c r="O67" s="279" t="n">
        <f aca="false">G67*(A67-B67)</f>
        <v>139.05325443787</v>
      </c>
      <c r="P67" s="279" t="n">
        <f aca="false">(A67-B67)*(I_Cout_ss*$Q$2+C67)</f>
        <v>278.10650887574</v>
      </c>
      <c r="Q67" s="279" t="n">
        <f aca="false">(A67-B67)*(I_Cout_ss*$R$2+C67)</f>
        <v>52.1449704142012</v>
      </c>
    </row>
    <row r="68" customFormat="false" ht="13.2" hidden="false" customHeight="false" outlineLevel="0" collapsed="false">
      <c r="A68" s="279" t="n">
        <f aca="false">VINMAX</f>
        <v>50</v>
      </c>
      <c r="B68" s="289" t="n">
        <f aca="false">VINMAX*((ROW()-10)/104)</f>
        <v>27.8846153846154</v>
      </c>
      <c r="C68" s="290" t="n">
        <f aca="false">IF(B68&gt;=$H$2,IF($D$2="CC", $G$2, B68/$G$2), 0)</f>
        <v>0</v>
      </c>
      <c r="D68" s="291" t="n">
        <f aca="false">B2</f>
        <v>703.333333333333</v>
      </c>
      <c r="E68" s="292" t="n">
        <f aca="false">MIN(D68/(A68-B68),$C$2)</f>
        <v>31.8028985507246</v>
      </c>
      <c r="F68" s="290" t="n">
        <f aca="false">I_Cout_ss+C68</f>
        <v>6.15384615384615</v>
      </c>
      <c r="G68" s="292" t="n">
        <f aca="false">IF($F$2="YES", F68, E68)</f>
        <v>6.15384615384615</v>
      </c>
      <c r="H68" s="290" t="n">
        <f aca="false">G68-C68</f>
        <v>6.15384615384615</v>
      </c>
      <c r="I68" s="293" t="n">
        <f aca="false">(COUTMAX/1000000)*(B68-B67)/H68</f>
        <v>0.000312499999999999</v>
      </c>
      <c r="J68" s="294" t="n">
        <f aca="false">J67+I68</f>
        <v>0.018125</v>
      </c>
      <c r="K68" s="287" t="n">
        <f aca="false">J68*1000</f>
        <v>18.125</v>
      </c>
      <c r="L68" s="282" t="n">
        <f aca="false">H68/G68</f>
        <v>1</v>
      </c>
      <c r="M68" s="279" t="n">
        <f aca="false">1/COUTMAX*(E68/2-C68)*1000</f>
        <v>3.97536231884058</v>
      </c>
      <c r="N68" s="279" t="n">
        <f aca="false">I68*G68*(A68-B68)</f>
        <v>0.0425295857988165</v>
      </c>
      <c r="O68" s="279" t="n">
        <f aca="false">G68*(A68-B68)</f>
        <v>136.094674556213</v>
      </c>
      <c r="P68" s="279" t="n">
        <f aca="false">(A68-B68)*(I_Cout_ss*$Q$2+C68)</f>
        <v>272.189349112426</v>
      </c>
      <c r="Q68" s="279" t="n">
        <f aca="false">(A68-B68)*(I_Cout_ss*$R$2+C68)</f>
        <v>51.0355029585799</v>
      </c>
    </row>
    <row r="69" customFormat="false" ht="13.2" hidden="false" customHeight="false" outlineLevel="0" collapsed="false">
      <c r="A69" s="279" t="n">
        <f aca="false">VINMAX</f>
        <v>50</v>
      </c>
      <c r="B69" s="289" t="n">
        <f aca="false">VINMAX*((ROW()-10)/104)</f>
        <v>28.3653846153846</v>
      </c>
      <c r="C69" s="290" t="n">
        <f aca="false">IF(B69&gt;=$H$2,IF($D$2="CC", $G$2, B69/$G$2), 0)</f>
        <v>0</v>
      </c>
      <c r="D69" s="291" t="n">
        <f aca="false">B2</f>
        <v>703.333333333333</v>
      </c>
      <c r="E69" s="292" t="n">
        <f aca="false">MIN(D69/(A69-B69),$C$2)</f>
        <v>32.5096296296296</v>
      </c>
      <c r="F69" s="290" t="n">
        <f aca="false">I_Cout_ss+C69</f>
        <v>6.15384615384615</v>
      </c>
      <c r="G69" s="292" t="n">
        <f aca="false">IF($F$2="YES", F69, E69)</f>
        <v>6.15384615384615</v>
      </c>
      <c r="H69" s="290" t="n">
        <f aca="false">G69-C69</f>
        <v>6.15384615384615</v>
      </c>
      <c r="I69" s="293" t="n">
        <f aca="false">(COUTMAX/1000000)*(B69-B68)/H69</f>
        <v>0.000312499999999997</v>
      </c>
      <c r="J69" s="294" t="n">
        <f aca="false">J68+I69</f>
        <v>0.0184375</v>
      </c>
      <c r="K69" s="287" t="n">
        <f aca="false">J69*1000</f>
        <v>18.4375</v>
      </c>
      <c r="L69" s="282" t="n">
        <f aca="false">H69/G69</f>
        <v>1</v>
      </c>
      <c r="M69" s="279" t="n">
        <f aca="false">1/COUTMAX*(E69/2-C69)*1000</f>
        <v>4.0637037037037</v>
      </c>
      <c r="N69" s="279" t="n">
        <f aca="false">I69*G69*(A69-B69)</f>
        <v>0.0416050295857984</v>
      </c>
      <c r="O69" s="279" t="n">
        <f aca="false">G69*(A69-B69)</f>
        <v>133.136094674556</v>
      </c>
      <c r="P69" s="279" t="n">
        <f aca="false">(A69-B69)*(I_Cout_ss*$Q$2+C69)</f>
        <v>266.272189349112</v>
      </c>
      <c r="Q69" s="279" t="n">
        <f aca="false">(A69-B69)*(I_Cout_ss*$R$2+C69)</f>
        <v>49.9260355029586</v>
      </c>
    </row>
    <row r="70" customFormat="false" ht="13.2" hidden="false" customHeight="false" outlineLevel="0" collapsed="false">
      <c r="A70" s="279" t="n">
        <f aca="false">VINMAX</f>
        <v>50</v>
      </c>
      <c r="B70" s="289" t="n">
        <f aca="false">VINMAX*((ROW()-10)/104)</f>
        <v>28.8461538461538</v>
      </c>
      <c r="C70" s="290" t="n">
        <f aca="false">IF(B70&gt;=$H$2,IF($D$2="CC", $G$2, B70/$G$2), 0)</f>
        <v>0</v>
      </c>
      <c r="D70" s="291" t="n">
        <f aca="false">B2</f>
        <v>703.333333333333</v>
      </c>
      <c r="E70" s="292" t="n">
        <f aca="false">MIN(D70/(A70-B70),$C$2)</f>
        <v>33.2484848484848</v>
      </c>
      <c r="F70" s="290" t="n">
        <f aca="false">I_Cout_ss+C70</f>
        <v>6.15384615384615</v>
      </c>
      <c r="G70" s="292" t="n">
        <f aca="false">IF($F$2="YES", F70, E70)</f>
        <v>6.15384615384615</v>
      </c>
      <c r="H70" s="290" t="n">
        <f aca="false">G70-C70</f>
        <v>6.15384615384615</v>
      </c>
      <c r="I70" s="293" t="n">
        <f aca="false">(COUTMAX/1000000)*(B70-B69)/H70</f>
        <v>0.000312499999999999</v>
      </c>
      <c r="J70" s="294" t="n">
        <f aca="false">J69+I70</f>
        <v>0.01875</v>
      </c>
      <c r="K70" s="287" t="n">
        <f aca="false">J70*1000</f>
        <v>18.75</v>
      </c>
      <c r="L70" s="282" t="n">
        <f aca="false">H70/G70</f>
        <v>1</v>
      </c>
      <c r="M70" s="279" t="n">
        <f aca="false">1/COUTMAX*(E70/2-C70)*1000</f>
        <v>4.15606060606061</v>
      </c>
      <c r="N70" s="279" t="n">
        <f aca="false">I70*G70*(A70-B70)</f>
        <v>0.040680473372781</v>
      </c>
      <c r="O70" s="279" t="n">
        <f aca="false">G70*(A70-B70)</f>
        <v>130.177514792899</v>
      </c>
      <c r="P70" s="279" t="n">
        <f aca="false">(A70-B70)*(I_Cout_ss*$Q$2+C70)</f>
        <v>260.355029585799</v>
      </c>
      <c r="Q70" s="279" t="n">
        <f aca="false">(A70-B70)*(I_Cout_ss*$R$2+C70)</f>
        <v>48.8165680473373</v>
      </c>
    </row>
    <row r="71" customFormat="false" ht="13.2" hidden="false" customHeight="false" outlineLevel="0" collapsed="false">
      <c r="A71" s="279" t="n">
        <f aca="false">VINMAX</f>
        <v>50</v>
      </c>
      <c r="B71" s="289" t="n">
        <f aca="false">VINMAX*((ROW()-10)/104)</f>
        <v>29.3269230769231</v>
      </c>
      <c r="C71" s="290" t="n">
        <f aca="false">IF(B71&gt;=$H$2,IF($D$2="CC", $G$2, B71/$G$2), 0)</f>
        <v>0</v>
      </c>
      <c r="D71" s="291" t="n">
        <f aca="false">B2</f>
        <v>703.333333333333</v>
      </c>
      <c r="E71" s="292" t="n">
        <f aca="false">MIN(D71/(A71-B71),$C$2)</f>
        <v>34.0217054263566</v>
      </c>
      <c r="F71" s="290" t="n">
        <f aca="false">I_Cout_ss+C71</f>
        <v>6.15384615384615</v>
      </c>
      <c r="G71" s="292" t="n">
        <f aca="false">IF($F$2="YES", F71, E71)</f>
        <v>6.15384615384615</v>
      </c>
      <c r="H71" s="290" t="n">
        <f aca="false">G71-C71</f>
        <v>6.15384615384615</v>
      </c>
      <c r="I71" s="293" t="n">
        <f aca="false">(COUTMAX/1000000)*(B71-B70)/H71</f>
        <v>0.000312500000000002</v>
      </c>
      <c r="J71" s="294" t="n">
        <f aca="false">J70+I71</f>
        <v>0.0190625</v>
      </c>
      <c r="K71" s="287" t="n">
        <f aca="false">J71*1000</f>
        <v>19.0625</v>
      </c>
      <c r="L71" s="282" t="n">
        <f aca="false">H71/G71</f>
        <v>1</v>
      </c>
      <c r="M71" s="279" t="n">
        <f aca="false">1/COUTMAX*(E71/2-C71)*1000</f>
        <v>4.25271317829457</v>
      </c>
      <c r="N71" s="279" t="n">
        <f aca="false">I71*G71*(A71-B71)</f>
        <v>0.0397559171597635</v>
      </c>
      <c r="O71" s="279" t="n">
        <f aca="false">G71*(A71-B71)</f>
        <v>127.218934911243</v>
      </c>
      <c r="P71" s="279" t="n">
        <f aca="false">(A71-B71)*(I_Cout_ss*$Q$2+C71)</f>
        <v>254.437869822485</v>
      </c>
      <c r="Q71" s="279" t="n">
        <f aca="false">(A71-B71)*(I_Cout_ss*$R$2+C71)</f>
        <v>47.707100591716</v>
      </c>
    </row>
    <row r="72" customFormat="false" ht="13.2" hidden="false" customHeight="false" outlineLevel="0" collapsed="false">
      <c r="A72" s="279" t="n">
        <f aca="false">VINMAX</f>
        <v>50</v>
      </c>
      <c r="B72" s="289" t="n">
        <f aca="false">VINMAX*((ROW()-10)/104)</f>
        <v>29.8076923076923</v>
      </c>
      <c r="C72" s="290" t="n">
        <f aca="false">IF(B72&gt;=$H$2,IF($D$2="CC", $G$2, B72/$G$2), 0)</f>
        <v>0</v>
      </c>
      <c r="D72" s="291" t="n">
        <f aca="false">B2</f>
        <v>703.333333333333</v>
      </c>
      <c r="E72" s="292" t="n">
        <f aca="false">MIN(D72/(A72-B72),$C$2)</f>
        <v>34.831746031746</v>
      </c>
      <c r="F72" s="290" t="n">
        <f aca="false">I_Cout_ss+C72</f>
        <v>6.15384615384615</v>
      </c>
      <c r="G72" s="292" t="n">
        <f aca="false">IF($F$2="YES", F72, E72)</f>
        <v>6.15384615384615</v>
      </c>
      <c r="H72" s="290" t="n">
        <f aca="false">G72-C72</f>
        <v>6.15384615384615</v>
      </c>
      <c r="I72" s="293" t="n">
        <f aca="false">(COUTMAX/1000000)*(B72-B71)/H72</f>
        <v>0.000312499999999999</v>
      </c>
      <c r="J72" s="294" t="n">
        <f aca="false">J71+I72</f>
        <v>0.019375</v>
      </c>
      <c r="K72" s="287" t="n">
        <f aca="false">J72*1000</f>
        <v>19.375</v>
      </c>
      <c r="L72" s="282" t="n">
        <f aca="false">H72/G72</f>
        <v>1</v>
      </c>
      <c r="M72" s="279" t="n">
        <f aca="false">1/COUTMAX*(E72/2-C72)*1000</f>
        <v>4.35396825396825</v>
      </c>
      <c r="N72" s="279" t="n">
        <f aca="false">I72*G72*(A72-B72)</f>
        <v>0.0388313609467455</v>
      </c>
      <c r="O72" s="279" t="n">
        <f aca="false">G72*(A72-B72)</f>
        <v>124.260355029586</v>
      </c>
      <c r="P72" s="279" t="n">
        <f aca="false">(A72-B72)*(I_Cout_ss*$Q$2+C72)</f>
        <v>248.520710059172</v>
      </c>
      <c r="Q72" s="279" t="n">
        <f aca="false">(A72-B72)*(I_Cout_ss*$R$2+C72)</f>
        <v>46.5976331360947</v>
      </c>
    </row>
    <row r="73" customFormat="false" ht="13.2" hidden="false" customHeight="false" outlineLevel="0" collapsed="false">
      <c r="A73" s="279" t="n">
        <f aca="false">VINMAX</f>
        <v>50</v>
      </c>
      <c r="B73" s="289" t="n">
        <f aca="false">VINMAX*((ROW()-10)/104)</f>
        <v>30.2884615384615</v>
      </c>
      <c r="C73" s="290" t="n">
        <f aca="false">IF(B73&gt;=$H$2,IF($D$2="CC", $G$2, B73/$G$2), 0)</f>
        <v>0</v>
      </c>
      <c r="D73" s="291" t="n">
        <f aca="false">B2</f>
        <v>703.333333333333</v>
      </c>
      <c r="E73" s="292" t="n">
        <f aca="false">MIN(D73/(A73-B73),$C$2)</f>
        <v>35.6813008130081</v>
      </c>
      <c r="F73" s="290" t="n">
        <f aca="false">I_Cout_ss+C73</f>
        <v>6.15384615384615</v>
      </c>
      <c r="G73" s="292" t="n">
        <f aca="false">IF($F$2="YES", F73, E73)</f>
        <v>6.15384615384615</v>
      </c>
      <c r="H73" s="290" t="n">
        <f aca="false">G73-C73</f>
        <v>6.15384615384615</v>
      </c>
      <c r="I73" s="293" t="n">
        <f aca="false">(COUTMAX/1000000)*(B73-B72)/H73</f>
        <v>0.000312499999999999</v>
      </c>
      <c r="J73" s="294" t="n">
        <f aca="false">J72+I73</f>
        <v>0.0196875</v>
      </c>
      <c r="K73" s="287" t="n">
        <f aca="false">J73*1000</f>
        <v>19.6875</v>
      </c>
      <c r="L73" s="282" t="n">
        <f aca="false">H73/G73</f>
        <v>1</v>
      </c>
      <c r="M73" s="279" t="n">
        <f aca="false">1/COUTMAX*(E73/2-C73)*1000</f>
        <v>4.46016260162602</v>
      </c>
      <c r="N73" s="279" t="n">
        <f aca="false">I73*G73*(A73-B73)</f>
        <v>0.0379068047337278</v>
      </c>
      <c r="O73" s="279" t="n">
        <f aca="false">G73*(A73-B73)</f>
        <v>121.301775147929</v>
      </c>
      <c r="P73" s="279" t="n">
        <f aca="false">(A73-B73)*(I_Cout_ss*$Q$2+C73)</f>
        <v>242.603550295858</v>
      </c>
      <c r="Q73" s="279" t="n">
        <f aca="false">(A73-B73)*(I_Cout_ss*$R$2+C73)</f>
        <v>45.4881656804734</v>
      </c>
    </row>
    <row r="74" customFormat="false" ht="13.2" hidden="false" customHeight="false" outlineLevel="0" collapsed="false">
      <c r="A74" s="279" t="n">
        <f aca="false">VINMAX</f>
        <v>50</v>
      </c>
      <c r="B74" s="289" t="n">
        <f aca="false">VINMAX*((ROW()-10)/104)</f>
        <v>30.7692307692308</v>
      </c>
      <c r="C74" s="290" t="n">
        <f aca="false">IF(B74&gt;=$H$2,IF($D$2="CC", $G$2, B74/$G$2), 0)</f>
        <v>0</v>
      </c>
      <c r="D74" s="291" t="n">
        <f aca="false">B2</f>
        <v>703.333333333333</v>
      </c>
      <c r="E74" s="292" t="n">
        <f aca="false">MIN(D74/(A74-B74),$C$2)</f>
        <v>36.5733333333333</v>
      </c>
      <c r="F74" s="290" t="n">
        <f aca="false">I_Cout_ss+C74</f>
        <v>6.15384615384615</v>
      </c>
      <c r="G74" s="292" t="n">
        <f aca="false">IF($F$2="YES", F74, E74)</f>
        <v>6.15384615384615</v>
      </c>
      <c r="H74" s="290" t="n">
        <f aca="false">G74-C74</f>
        <v>6.15384615384615</v>
      </c>
      <c r="I74" s="293" t="n">
        <f aca="false">(COUTMAX/1000000)*(B74-B73)/H74</f>
        <v>0.000312500000000002</v>
      </c>
      <c r="J74" s="294" t="n">
        <f aca="false">J73+I74</f>
        <v>0.02</v>
      </c>
      <c r="K74" s="287" t="n">
        <f aca="false">J74*1000</f>
        <v>20</v>
      </c>
      <c r="L74" s="282" t="n">
        <f aca="false">H74/G74</f>
        <v>1</v>
      </c>
      <c r="M74" s="279" t="n">
        <f aca="false">1/COUTMAX*(E74/2-C74)*1000</f>
        <v>4.57166666666667</v>
      </c>
      <c r="N74" s="279" t="n">
        <f aca="false">I74*G74*(A74-B74)</f>
        <v>0.0369822485207103</v>
      </c>
      <c r="O74" s="279" t="n">
        <f aca="false">G74*(A74-B74)</f>
        <v>118.343195266272</v>
      </c>
      <c r="P74" s="279" t="n">
        <f aca="false">(A74-B74)*(I_Cout_ss*$Q$2+C74)</f>
        <v>236.686390532544</v>
      </c>
      <c r="Q74" s="279" t="n">
        <f aca="false">(A74-B74)*(I_Cout_ss*$R$2+C74)</f>
        <v>44.3786982248521</v>
      </c>
    </row>
    <row r="75" customFormat="false" ht="13.2" hidden="false" customHeight="false" outlineLevel="0" collapsed="false">
      <c r="A75" s="279" t="n">
        <f aca="false">VINMAX</f>
        <v>50</v>
      </c>
      <c r="B75" s="289" t="n">
        <f aca="false">VINMAX*((ROW()-10)/104)</f>
        <v>31.25</v>
      </c>
      <c r="C75" s="290" t="n">
        <f aca="false">IF(B75&gt;=$H$2,IF($D$2="CC", $G$2, B75/$G$2), 0)</f>
        <v>0</v>
      </c>
      <c r="D75" s="291" t="n">
        <f aca="false">B2</f>
        <v>703.333333333333</v>
      </c>
      <c r="E75" s="292" t="n">
        <f aca="false">MIN(D75/(A75-B75),$C$2)</f>
        <v>37.5111111111111</v>
      </c>
      <c r="F75" s="290" t="n">
        <f aca="false">I_Cout_ss+C75</f>
        <v>6.15384615384615</v>
      </c>
      <c r="G75" s="292" t="n">
        <f aca="false">IF($F$2="YES", F75, E75)</f>
        <v>6.15384615384615</v>
      </c>
      <c r="H75" s="290" t="n">
        <f aca="false">G75-C75</f>
        <v>6.15384615384615</v>
      </c>
      <c r="I75" s="293" t="n">
        <f aca="false">(COUTMAX/1000000)*(B75-B74)/H75</f>
        <v>0.000312499999999999</v>
      </c>
      <c r="J75" s="294" t="n">
        <f aca="false">J74+I75</f>
        <v>0.0203125</v>
      </c>
      <c r="K75" s="287" t="n">
        <f aca="false">J75*1000</f>
        <v>20.3125</v>
      </c>
      <c r="L75" s="282" t="n">
        <f aca="false">H75/G75</f>
        <v>1</v>
      </c>
      <c r="M75" s="279" t="n">
        <f aca="false">1/COUTMAX*(E75/2-C75)*1000</f>
        <v>4.68888888888889</v>
      </c>
      <c r="N75" s="279" t="n">
        <f aca="false">I75*G75*(A75-B75)</f>
        <v>0.0360576923076922</v>
      </c>
      <c r="O75" s="279" t="n">
        <f aca="false">G75*(A75-B75)</f>
        <v>115.384615384615</v>
      </c>
      <c r="P75" s="279" t="n">
        <f aca="false">(A75-B75)*(I_Cout_ss*$Q$2+C75)</f>
        <v>230.769230769231</v>
      </c>
      <c r="Q75" s="279" t="n">
        <f aca="false">(A75-B75)*(I_Cout_ss*$R$2+C75)</f>
        <v>43.2692307692308</v>
      </c>
    </row>
    <row r="76" customFormat="false" ht="13.2" hidden="false" customHeight="false" outlineLevel="0" collapsed="false">
      <c r="A76" s="279" t="n">
        <f aca="false">VINMAX</f>
        <v>50</v>
      </c>
      <c r="B76" s="289" t="n">
        <f aca="false">VINMAX*((ROW()-10)/104)</f>
        <v>31.7307692307692</v>
      </c>
      <c r="C76" s="290" t="n">
        <f aca="false">IF(B76&gt;=$H$2,IF($D$2="CC", $G$2, B76/$G$2), 0)</f>
        <v>0</v>
      </c>
      <c r="D76" s="291" t="n">
        <f aca="false">B2</f>
        <v>703.333333333333</v>
      </c>
      <c r="E76" s="292" t="n">
        <f aca="false">MIN(D76/(A76-B76),$C$2)</f>
        <v>38.4982456140351</v>
      </c>
      <c r="F76" s="290" t="n">
        <f aca="false">I_Cout_ss+C76</f>
        <v>6.15384615384615</v>
      </c>
      <c r="G76" s="292" t="n">
        <f aca="false">IF($F$2="YES", F76, E76)</f>
        <v>6.15384615384615</v>
      </c>
      <c r="H76" s="290" t="n">
        <f aca="false">G76-C76</f>
        <v>6.15384615384615</v>
      </c>
      <c r="I76" s="293" t="n">
        <f aca="false">(COUTMAX/1000000)*(B76-B75)/H76</f>
        <v>0.000312499999999999</v>
      </c>
      <c r="J76" s="294" t="n">
        <f aca="false">J75+I76</f>
        <v>0.020625</v>
      </c>
      <c r="K76" s="287" t="n">
        <f aca="false">J76*1000</f>
        <v>20.625</v>
      </c>
      <c r="L76" s="282" t="n">
        <f aca="false">H76/G76</f>
        <v>1</v>
      </c>
      <c r="M76" s="279" t="n">
        <f aca="false">1/COUTMAX*(E76/2-C76)*1000</f>
        <v>4.81228070175439</v>
      </c>
      <c r="N76" s="279" t="n">
        <f aca="false">I76*G76*(A76-B76)</f>
        <v>0.0351331360946745</v>
      </c>
      <c r="O76" s="279" t="n">
        <f aca="false">G76*(A76-B76)</f>
        <v>112.426035502959</v>
      </c>
      <c r="P76" s="279" t="n">
        <f aca="false">(A76-B76)*(I_Cout_ss*$Q$2+C76)</f>
        <v>224.852071005917</v>
      </c>
      <c r="Q76" s="279" t="n">
        <f aca="false">(A76-B76)*(I_Cout_ss*$R$2+C76)</f>
        <v>42.1597633136095</v>
      </c>
    </row>
    <row r="77" customFormat="false" ht="13.2" hidden="false" customHeight="false" outlineLevel="0" collapsed="false">
      <c r="A77" s="279" t="n">
        <f aca="false">VINMAX</f>
        <v>50</v>
      </c>
      <c r="B77" s="289" t="n">
        <f aca="false">VINMAX*((ROW()-10)/104)</f>
        <v>32.2115384615385</v>
      </c>
      <c r="C77" s="290" t="n">
        <f aca="false">IF(B77&gt;=$H$2,IF($D$2="CC", $G$2, B77/$G$2), 0)</f>
        <v>0</v>
      </c>
      <c r="D77" s="291" t="n">
        <f aca="false">B2</f>
        <v>703.333333333333</v>
      </c>
      <c r="E77" s="292" t="n">
        <f aca="false">MIN(D77/(A77-B77),$C$2)</f>
        <v>39.5387387387387</v>
      </c>
      <c r="F77" s="290" t="n">
        <f aca="false">I_Cout_ss+C77</f>
        <v>6.15384615384615</v>
      </c>
      <c r="G77" s="292" t="n">
        <f aca="false">IF($F$2="YES", F77, E77)</f>
        <v>6.15384615384615</v>
      </c>
      <c r="H77" s="290" t="n">
        <f aca="false">G77-C77</f>
        <v>6.15384615384615</v>
      </c>
      <c r="I77" s="293" t="n">
        <f aca="false">(COUTMAX/1000000)*(B77-B76)/H77</f>
        <v>0.000312500000000004</v>
      </c>
      <c r="J77" s="294" t="n">
        <f aca="false">J76+I77</f>
        <v>0.0209375</v>
      </c>
      <c r="K77" s="287" t="n">
        <f aca="false">J77*1000</f>
        <v>20.9375</v>
      </c>
      <c r="L77" s="282" t="n">
        <f aca="false">H77/G77</f>
        <v>1</v>
      </c>
      <c r="M77" s="279" t="n">
        <f aca="false">1/COUTMAX*(E77/2-C77)*1000</f>
        <v>4.94234234234234</v>
      </c>
      <c r="N77" s="279" t="n">
        <f aca="false">I77*G77*(A77-B77)</f>
        <v>0.0342085798816572</v>
      </c>
      <c r="O77" s="279" t="n">
        <f aca="false">G77*(A77-B77)</f>
        <v>109.467455621302</v>
      </c>
      <c r="P77" s="279" t="n">
        <f aca="false">(A77-B77)*(I_Cout_ss*$Q$2+C77)</f>
        <v>218.934911242604</v>
      </c>
      <c r="Q77" s="279" t="n">
        <f aca="false">(A77-B77)*(I_Cout_ss*$R$2+C77)</f>
        <v>41.0502958579882</v>
      </c>
    </row>
    <row r="78" customFormat="false" ht="13.2" hidden="false" customHeight="false" outlineLevel="0" collapsed="false">
      <c r="A78" s="279" t="n">
        <f aca="false">VINMAX</f>
        <v>50</v>
      </c>
      <c r="B78" s="289" t="n">
        <f aca="false">VINMAX*((ROW()-10)/104)</f>
        <v>32.6923076923077</v>
      </c>
      <c r="C78" s="290" t="n">
        <f aca="false">IF(B78&gt;=$H$2,IF($D$2="CC", $G$2, B78/$G$2), 0)</f>
        <v>0</v>
      </c>
      <c r="D78" s="291" t="n">
        <f aca="false">B2</f>
        <v>703.333333333333</v>
      </c>
      <c r="E78" s="292" t="n">
        <f aca="false">MIN(D78/(A78-B78),$C$2)</f>
        <v>40.637037037037</v>
      </c>
      <c r="F78" s="290" t="n">
        <f aca="false">I_Cout_ss+C78</f>
        <v>6.15384615384615</v>
      </c>
      <c r="G78" s="292" t="n">
        <f aca="false">IF($F$2="YES", F78, E78)</f>
        <v>6.15384615384615</v>
      </c>
      <c r="H78" s="290" t="n">
        <f aca="false">G78-C78</f>
        <v>6.15384615384615</v>
      </c>
      <c r="I78" s="293" t="n">
        <f aca="false">(COUTMAX/1000000)*(B78-B77)/H78</f>
        <v>0.000312499999999997</v>
      </c>
      <c r="J78" s="294" t="n">
        <f aca="false">J77+I78</f>
        <v>0.02125</v>
      </c>
      <c r="K78" s="287" t="n">
        <f aca="false">J78*1000</f>
        <v>21.25</v>
      </c>
      <c r="L78" s="282" t="n">
        <f aca="false">H78/G78</f>
        <v>1</v>
      </c>
      <c r="M78" s="279" t="n">
        <f aca="false">1/COUTMAX*(E78/2-C78)*1000</f>
        <v>5.07962962962963</v>
      </c>
      <c r="N78" s="279" t="n">
        <f aca="false">I78*G78*(A78-B78)</f>
        <v>0.0332840236686387</v>
      </c>
      <c r="O78" s="279" t="n">
        <f aca="false">G78*(A78-B78)</f>
        <v>106.508875739645</v>
      </c>
      <c r="P78" s="279" t="n">
        <f aca="false">(A78-B78)*(I_Cout_ss*$Q$2+C78)</f>
        <v>213.01775147929</v>
      </c>
      <c r="Q78" s="279" t="n">
        <f aca="false">(A78-B78)*(I_Cout_ss*$R$2+C78)</f>
        <v>39.9408284023669</v>
      </c>
    </row>
    <row r="79" customFormat="false" ht="13.2" hidden="false" customHeight="false" outlineLevel="0" collapsed="false">
      <c r="A79" s="279" t="n">
        <f aca="false">VINMAX</f>
        <v>50</v>
      </c>
      <c r="B79" s="289" t="n">
        <f aca="false">VINMAX*((ROW()-10)/104)</f>
        <v>33.1730769230769</v>
      </c>
      <c r="C79" s="290" t="n">
        <f aca="false">IF(B79&gt;=$H$2,IF($D$2="CC", $G$2, B79/$G$2), 0)</f>
        <v>0</v>
      </c>
      <c r="D79" s="291" t="n">
        <f aca="false">B2</f>
        <v>703.333333333333</v>
      </c>
      <c r="E79" s="292" t="n">
        <f aca="false">MIN(D79/(A79-B79),$C$2)</f>
        <v>41.7980952380952</v>
      </c>
      <c r="F79" s="290" t="n">
        <f aca="false">I_Cout_ss+C79</f>
        <v>6.15384615384615</v>
      </c>
      <c r="G79" s="292" t="n">
        <f aca="false">IF($F$2="YES", F79, E79)</f>
        <v>6.15384615384615</v>
      </c>
      <c r="H79" s="290" t="n">
        <f aca="false">G79-C79</f>
        <v>6.15384615384615</v>
      </c>
      <c r="I79" s="293" t="n">
        <f aca="false">(COUTMAX/1000000)*(B79-B78)/H79</f>
        <v>0.000312499999999997</v>
      </c>
      <c r="J79" s="294" t="n">
        <f aca="false">J78+I79</f>
        <v>0.0215625</v>
      </c>
      <c r="K79" s="287" t="n">
        <f aca="false">J79*1000</f>
        <v>21.5625</v>
      </c>
      <c r="L79" s="282" t="n">
        <f aca="false">H79/G79</f>
        <v>1</v>
      </c>
      <c r="M79" s="279" t="n">
        <f aca="false">1/COUTMAX*(E79/2-C79)*1000</f>
        <v>5.2247619047619</v>
      </c>
      <c r="N79" s="279" t="n">
        <f aca="false">I79*G79*(A79-B79)</f>
        <v>0.032359467455621</v>
      </c>
      <c r="O79" s="279" t="n">
        <f aca="false">G79*(A79-B79)</f>
        <v>103.550295857988</v>
      </c>
      <c r="P79" s="279" t="n">
        <f aca="false">(A79-B79)*(I_Cout_ss*$Q$2+C79)</f>
        <v>207.100591715976</v>
      </c>
      <c r="Q79" s="279" t="n">
        <f aca="false">(A79-B79)*(I_Cout_ss*$R$2+C79)</f>
        <v>38.8313609467456</v>
      </c>
    </row>
    <row r="80" customFormat="false" ht="13.2" hidden="false" customHeight="false" outlineLevel="0" collapsed="false">
      <c r="A80" s="279" t="n">
        <f aca="false">VINMAX</f>
        <v>50</v>
      </c>
      <c r="B80" s="289" t="n">
        <f aca="false">VINMAX*((ROW()-10)/104)</f>
        <v>33.6538461538462</v>
      </c>
      <c r="C80" s="290" t="n">
        <f aca="false">IF(B80&gt;=$H$2,IF($D$2="CC", $G$2, B80/$G$2), 0)</f>
        <v>0</v>
      </c>
      <c r="D80" s="291" t="n">
        <f aca="false">B2</f>
        <v>703.333333333333</v>
      </c>
      <c r="E80" s="292" t="n">
        <f aca="false">MIN(D80/(A80-B80),$C$2)</f>
        <v>43.0274509803922</v>
      </c>
      <c r="F80" s="290" t="n">
        <f aca="false">I_Cout_ss+C80</f>
        <v>6.15384615384615</v>
      </c>
      <c r="G80" s="292" t="n">
        <f aca="false">IF($F$2="YES", F80, E80)</f>
        <v>6.15384615384615</v>
      </c>
      <c r="H80" s="290" t="n">
        <f aca="false">G80-C80</f>
        <v>6.15384615384615</v>
      </c>
      <c r="I80" s="293" t="n">
        <f aca="false">(COUTMAX/1000000)*(B80-B79)/H80</f>
        <v>0.000312500000000002</v>
      </c>
      <c r="J80" s="294" t="n">
        <f aca="false">J79+I80</f>
        <v>0.021875</v>
      </c>
      <c r="K80" s="287" t="n">
        <f aca="false">J80*1000</f>
        <v>21.875</v>
      </c>
      <c r="L80" s="282" t="n">
        <f aca="false">H80/G80</f>
        <v>1</v>
      </c>
      <c r="M80" s="279" t="n">
        <f aca="false">1/COUTMAX*(E80/2-C80)*1000</f>
        <v>5.37843137254902</v>
      </c>
      <c r="N80" s="279" t="n">
        <f aca="false">I80*G80*(A80-B80)</f>
        <v>0.0314349112426037</v>
      </c>
      <c r="O80" s="279" t="n">
        <f aca="false">G80*(A80-B80)</f>
        <v>100.591715976331</v>
      </c>
      <c r="P80" s="279" t="n">
        <f aca="false">(A80-B80)*(I_Cout_ss*$Q$2+C80)</f>
        <v>201.183431952663</v>
      </c>
      <c r="Q80" s="279" t="n">
        <f aca="false">(A80-B80)*(I_Cout_ss*$R$2+C80)</f>
        <v>37.7218934911243</v>
      </c>
    </row>
    <row r="81" customFormat="false" ht="13.2" hidden="false" customHeight="false" outlineLevel="0" collapsed="false">
      <c r="A81" s="279" t="n">
        <f aca="false">VINMAX</f>
        <v>50</v>
      </c>
      <c r="B81" s="289" t="n">
        <f aca="false">VINMAX*((ROW()-10)/104)</f>
        <v>34.1346153846154</v>
      </c>
      <c r="C81" s="290" t="n">
        <f aca="false">IF(B81&gt;=$H$2,IF($D$2="CC", $G$2, B81/$G$2), 0)</f>
        <v>0</v>
      </c>
      <c r="D81" s="291" t="n">
        <f aca="false">B2</f>
        <v>703.333333333333</v>
      </c>
      <c r="E81" s="292" t="n">
        <f aca="false">MIN(D81/(A81-B81),$C$2)</f>
        <v>44.3313131313131</v>
      </c>
      <c r="F81" s="290" t="n">
        <f aca="false">I_Cout_ss+C81</f>
        <v>6.15384615384615</v>
      </c>
      <c r="G81" s="292" t="n">
        <f aca="false">IF($F$2="YES", F81, E81)</f>
        <v>6.15384615384615</v>
      </c>
      <c r="H81" s="290" t="n">
        <f aca="false">G81-C81</f>
        <v>6.15384615384615</v>
      </c>
      <c r="I81" s="293" t="n">
        <f aca="false">(COUTMAX/1000000)*(B81-B80)/H81</f>
        <v>0.000312500000000002</v>
      </c>
      <c r="J81" s="294" t="n">
        <f aca="false">J80+I81</f>
        <v>0.0221875</v>
      </c>
      <c r="K81" s="287" t="n">
        <f aca="false">J81*1000</f>
        <v>22.1875</v>
      </c>
      <c r="L81" s="282" t="n">
        <f aca="false">H81/G81</f>
        <v>1</v>
      </c>
      <c r="M81" s="279" t="n">
        <f aca="false">1/COUTMAX*(E81/2-C81)*1000</f>
        <v>5.54141414141414</v>
      </c>
      <c r="N81" s="279" t="n">
        <f aca="false">I81*G81*(A81-B81)</f>
        <v>0.030510355029586</v>
      </c>
      <c r="O81" s="279" t="n">
        <f aca="false">G81*(A81-B81)</f>
        <v>97.6331360946746</v>
      </c>
      <c r="P81" s="279" t="n">
        <f aca="false">(A81-B81)*(I_Cout_ss*$Q$2+C81)</f>
        <v>195.266272189349</v>
      </c>
      <c r="Q81" s="279" t="n">
        <f aca="false">(A81-B81)*(I_Cout_ss*$R$2+C81)</f>
        <v>36.612426035503</v>
      </c>
    </row>
    <row r="82" customFormat="false" ht="13.2" hidden="false" customHeight="false" outlineLevel="0" collapsed="false">
      <c r="A82" s="279" t="n">
        <f aca="false">VINMAX</f>
        <v>50</v>
      </c>
      <c r="B82" s="289" t="n">
        <f aca="false">VINMAX*((ROW()-10)/104)</f>
        <v>34.6153846153846</v>
      </c>
      <c r="C82" s="290" t="n">
        <f aca="false">IF(B82&gt;=$H$2,IF($D$2="CC", $G$2, B82/$G$2), 0)</f>
        <v>0</v>
      </c>
      <c r="D82" s="291" t="n">
        <f aca="false">B2</f>
        <v>703.333333333333</v>
      </c>
      <c r="E82" s="292" t="n">
        <f aca="false">MIN(D82/(A82-B82),$C$2)</f>
        <v>45.7166666666667</v>
      </c>
      <c r="F82" s="290" t="n">
        <f aca="false">I_Cout_ss+C82</f>
        <v>6.15384615384615</v>
      </c>
      <c r="G82" s="292" t="n">
        <f aca="false">IF($F$2="YES", F82, E82)</f>
        <v>6.15384615384615</v>
      </c>
      <c r="H82" s="290" t="n">
        <f aca="false">G82-C82</f>
        <v>6.15384615384615</v>
      </c>
      <c r="I82" s="293" t="n">
        <f aca="false">(COUTMAX/1000000)*(B82-B81)/H82</f>
        <v>0.000312499999999997</v>
      </c>
      <c r="J82" s="294" t="n">
        <f aca="false">J81+I82</f>
        <v>0.0225</v>
      </c>
      <c r="K82" s="287" t="n">
        <f aca="false">J82*1000</f>
        <v>22.5</v>
      </c>
      <c r="L82" s="282" t="n">
        <f aca="false">H82/G82</f>
        <v>1</v>
      </c>
      <c r="M82" s="279" t="n">
        <f aca="false">1/COUTMAX*(E82/2-C82)*1000</f>
        <v>5.71458333333333</v>
      </c>
      <c r="N82" s="279" t="n">
        <f aca="false">I82*G82*(A82-B82)</f>
        <v>0.0295857988165678</v>
      </c>
      <c r="O82" s="279" t="n">
        <f aca="false">G82*(A82-B82)</f>
        <v>94.6745562130178</v>
      </c>
      <c r="P82" s="279" t="n">
        <f aca="false">(A82-B82)*(I_Cout_ss*$Q$2+C82)</f>
        <v>189.349112426036</v>
      </c>
      <c r="Q82" s="279" t="n">
        <f aca="false">(A82-B82)*(I_Cout_ss*$R$2+C82)</f>
        <v>35.5029585798817</v>
      </c>
    </row>
    <row r="83" customFormat="false" ht="13.2" hidden="false" customHeight="false" outlineLevel="0" collapsed="false">
      <c r="A83" s="279" t="n">
        <f aca="false">VINMAX</f>
        <v>50</v>
      </c>
      <c r="B83" s="289" t="n">
        <f aca="false">VINMAX*((ROW()-10)/104)</f>
        <v>35.0961538461538</v>
      </c>
      <c r="C83" s="290" t="n">
        <f aca="false">IF(B83&gt;=$H$2,IF($D$2="CC", $G$2, B83/$G$2), 0)</f>
        <v>0</v>
      </c>
      <c r="D83" s="291" t="n">
        <f aca="false">B2</f>
        <v>703.333333333333</v>
      </c>
      <c r="E83" s="292" t="n">
        <f aca="false">MIN(D83/(A83-B83),$C$2)</f>
        <v>47.1913978494624</v>
      </c>
      <c r="F83" s="290" t="n">
        <f aca="false">I_Cout_ss+C83</f>
        <v>6.15384615384615</v>
      </c>
      <c r="G83" s="292" t="n">
        <f aca="false">IF($F$2="YES", F83, E83)</f>
        <v>6.15384615384615</v>
      </c>
      <c r="H83" s="290" t="n">
        <f aca="false">G83-C83</f>
        <v>6.15384615384615</v>
      </c>
      <c r="I83" s="293" t="n">
        <f aca="false">(COUTMAX/1000000)*(B83-B82)/H83</f>
        <v>0.000312500000000002</v>
      </c>
      <c r="J83" s="294" t="n">
        <f aca="false">J82+I83</f>
        <v>0.0228125</v>
      </c>
      <c r="K83" s="287" t="n">
        <f aca="false">J83*1000</f>
        <v>22.8125</v>
      </c>
      <c r="L83" s="282" t="n">
        <f aca="false">H83/G83</f>
        <v>1</v>
      </c>
      <c r="M83" s="279" t="n">
        <f aca="false">1/COUTMAX*(E83/2-C83)*1000</f>
        <v>5.8989247311828</v>
      </c>
      <c r="N83" s="279" t="n">
        <f aca="false">I83*G83*(A83-B83)</f>
        <v>0.0286612426035505</v>
      </c>
      <c r="O83" s="279" t="n">
        <f aca="false">G83*(A83-B83)</f>
        <v>91.715976331361</v>
      </c>
      <c r="P83" s="279" t="n">
        <f aca="false">(A83-B83)*(I_Cout_ss*$Q$2+C83)</f>
        <v>183.431952662722</v>
      </c>
      <c r="Q83" s="279" t="n">
        <f aca="false">(A83-B83)*(I_Cout_ss*$R$2+C83)</f>
        <v>34.3934911242604</v>
      </c>
    </row>
    <row r="84" customFormat="false" ht="13.2" hidden="false" customHeight="false" outlineLevel="0" collapsed="false">
      <c r="A84" s="279" t="n">
        <f aca="false">VINMAX</f>
        <v>50</v>
      </c>
      <c r="B84" s="289" t="n">
        <f aca="false">VINMAX*((ROW()-10)/104)</f>
        <v>35.5769230769231</v>
      </c>
      <c r="C84" s="290" t="n">
        <f aca="false">IF(B84&gt;=$H$2,IF($D$2="CC", $G$2, B84/$G$2), 0)</f>
        <v>0</v>
      </c>
      <c r="D84" s="291" t="n">
        <f aca="false">B2</f>
        <v>703.333333333333</v>
      </c>
      <c r="E84" s="292" t="n">
        <f aca="false">MIN(D84/(A84-B84),$C$2)</f>
        <v>48.7644444444445</v>
      </c>
      <c r="F84" s="290" t="n">
        <f aca="false">I_Cout_ss+C84</f>
        <v>6.15384615384615</v>
      </c>
      <c r="G84" s="292" t="n">
        <f aca="false">IF($F$2="YES", F84, E84)</f>
        <v>6.15384615384615</v>
      </c>
      <c r="H84" s="290" t="n">
        <f aca="false">G84-C84</f>
        <v>6.15384615384615</v>
      </c>
      <c r="I84" s="293" t="n">
        <f aca="false">(COUTMAX/1000000)*(B84-B83)/H84</f>
        <v>0.000312500000000002</v>
      </c>
      <c r="J84" s="294" t="n">
        <f aca="false">J83+I84</f>
        <v>0.023125</v>
      </c>
      <c r="K84" s="287" t="n">
        <f aca="false">J84*1000</f>
        <v>23.125</v>
      </c>
      <c r="L84" s="282" t="n">
        <f aca="false">H84/G84</f>
        <v>1</v>
      </c>
      <c r="M84" s="279" t="n">
        <f aca="false">1/COUTMAX*(E84/2-C84)*1000</f>
        <v>6.09555555555556</v>
      </c>
      <c r="N84" s="279" t="n">
        <f aca="false">I84*G84*(A84-B84)</f>
        <v>0.0277366863905327</v>
      </c>
      <c r="O84" s="279" t="n">
        <f aca="false">G84*(A84-B84)</f>
        <v>88.7573964497041</v>
      </c>
      <c r="P84" s="279" t="n">
        <f aca="false">(A84-B84)*(I_Cout_ss*$Q$2+C84)</f>
        <v>177.514792899408</v>
      </c>
      <c r="Q84" s="279" t="n">
        <f aca="false">(A84-B84)*(I_Cout_ss*$R$2+C84)</f>
        <v>33.2840236686391</v>
      </c>
    </row>
    <row r="85" customFormat="false" ht="13.2" hidden="false" customHeight="false" outlineLevel="0" collapsed="false">
      <c r="A85" s="279" t="n">
        <f aca="false">VINMAX</f>
        <v>50</v>
      </c>
      <c r="B85" s="289" t="n">
        <f aca="false">VINMAX*((ROW()-10)/104)</f>
        <v>36.0576923076923</v>
      </c>
      <c r="C85" s="290" t="n">
        <f aca="false">IF(B85&gt;=$H$2,IF($D$2="CC", $G$2, B85/$G$2), 0)</f>
        <v>0</v>
      </c>
      <c r="D85" s="291" t="n">
        <f aca="false">B2</f>
        <v>703.333333333333</v>
      </c>
      <c r="E85" s="292" t="n">
        <f aca="false">MIN(D85/(A85-B85),$C$2)</f>
        <v>50.4459770114942</v>
      </c>
      <c r="F85" s="290" t="n">
        <f aca="false">I_Cout_ss+C85</f>
        <v>6.15384615384615</v>
      </c>
      <c r="G85" s="292" t="n">
        <f aca="false">IF($F$2="YES", F85, E85)</f>
        <v>6.15384615384615</v>
      </c>
      <c r="H85" s="290" t="n">
        <f aca="false">G85-C85</f>
        <v>6.15384615384615</v>
      </c>
      <c r="I85" s="293" t="n">
        <f aca="false">(COUTMAX/1000000)*(B85-B84)/H85</f>
        <v>0.000312499999999997</v>
      </c>
      <c r="J85" s="294" t="n">
        <f aca="false">J84+I85</f>
        <v>0.0234375</v>
      </c>
      <c r="K85" s="287" t="n">
        <f aca="false">J85*1000</f>
        <v>23.4375</v>
      </c>
      <c r="L85" s="282" t="n">
        <f aca="false">H85/G85</f>
        <v>1</v>
      </c>
      <c r="M85" s="279" t="n">
        <f aca="false">1/COUTMAX*(E85/2-C85)*1000</f>
        <v>6.30574712643678</v>
      </c>
      <c r="N85" s="279" t="n">
        <f aca="false">I85*G85*(A85-B85)</f>
        <v>0.0268121301775145</v>
      </c>
      <c r="O85" s="279" t="n">
        <f aca="false">G85*(A85-B85)</f>
        <v>85.7988165680473</v>
      </c>
      <c r="P85" s="279" t="n">
        <f aca="false">(A85-B85)*(I_Cout_ss*$Q$2+C85)</f>
        <v>171.597633136095</v>
      </c>
      <c r="Q85" s="279" t="n">
        <f aca="false">(A85-B85)*(I_Cout_ss*$R$2+C85)</f>
        <v>32.1745562130178</v>
      </c>
    </row>
    <row r="86" customFormat="false" ht="13.2" hidden="false" customHeight="false" outlineLevel="0" collapsed="false">
      <c r="A86" s="279" t="n">
        <f aca="false">VINMAX</f>
        <v>50</v>
      </c>
      <c r="B86" s="289" t="n">
        <f aca="false">VINMAX*((ROW()-10)/104)</f>
        <v>36.5384615384615</v>
      </c>
      <c r="C86" s="290" t="n">
        <f aca="false">IF(B86&gt;=$H$2,IF($D$2="CC", $G$2, B86/$G$2), 0)</f>
        <v>0</v>
      </c>
      <c r="D86" s="291" t="n">
        <f aca="false">B2</f>
        <v>703.333333333333</v>
      </c>
      <c r="E86" s="292" t="n">
        <f aca="false">MIN(D86/(A86-B86),$C$2)</f>
        <v>52.247619047619</v>
      </c>
      <c r="F86" s="290" t="n">
        <f aca="false">I_Cout_ss+C86</f>
        <v>6.15384615384615</v>
      </c>
      <c r="G86" s="292" t="n">
        <f aca="false">IF($F$2="YES", F86, E86)</f>
        <v>6.15384615384615</v>
      </c>
      <c r="H86" s="290" t="n">
        <f aca="false">G86-C86</f>
        <v>6.15384615384615</v>
      </c>
      <c r="I86" s="293" t="n">
        <f aca="false">(COUTMAX/1000000)*(B86-B85)/H86</f>
        <v>0.000312499999999997</v>
      </c>
      <c r="J86" s="294" t="n">
        <f aca="false">J85+I86</f>
        <v>0.02375</v>
      </c>
      <c r="K86" s="287" t="n">
        <f aca="false">J86*1000</f>
        <v>23.75</v>
      </c>
      <c r="L86" s="282" t="n">
        <f aca="false">H86/G86</f>
        <v>1</v>
      </c>
      <c r="M86" s="279" t="n">
        <f aca="false">1/COUTMAX*(E86/2-C86)*1000</f>
        <v>6.53095238095238</v>
      </c>
      <c r="N86" s="279" t="n">
        <f aca="false">I86*G86*(A86-B86)</f>
        <v>0.0258875739644968</v>
      </c>
      <c r="O86" s="279" t="n">
        <f aca="false">G86*(A86-B86)</f>
        <v>82.8402366863906</v>
      </c>
      <c r="P86" s="279" t="n">
        <f aca="false">(A86-B86)*(I_Cout_ss*$Q$2+C86)</f>
        <v>165.680473372781</v>
      </c>
      <c r="Q86" s="279" t="n">
        <f aca="false">(A86-B86)*(I_Cout_ss*$R$2+C86)</f>
        <v>31.0650887573965</v>
      </c>
    </row>
    <row r="87" customFormat="false" ht="13.2" hidden="false" customHeight="false" outlineLevel="0" collapsed="false">
      <c r="A87" s="279" t="n">
        <f aca="false">VINMAX</f>
        <v>50</v>
      </c>
      <c r="B87" s="289" t="n">
        <f aca="false">VINMAX*((ROW()-10)/104)</f>
        <v>37.0192307692308</v>
      </c>
      <c r="C87" s="290" t="n">
        <f aca="false">IF(B87&gt;=$H$2,IF($D$2="CC", $G$2, B87/$G$2), 0)</f>
        <v>0</v>
      </c>
      <c r="D87" s="291" t="n">
        <f aca="false">B2</f>
        <v>703.333333333333</v>
      </c>
      <c r="E87" s="292" t="n">
        <f aca="false">MIN(D87/(A87-B87),$C$2)</f>
        <v>54.1827160493827</v>
      </c>
      <c r="F87" s="290" t="n">
        <f aca="false">I_Cout_ss+C87</f>
        <v>6.15384615384615</v>
      </c>
      <c r="G87" s="292" t="n">
        <f aca="false">IF($F$2="YES", F87, E87)</f>
        <v>6.15384615384615</v>
      </c>
      <c r="H87" s="290" t="n">
        <f aca="false">G87-C87</f>
        <v>6.15384615384615</v>
      </c>
      <c r="I87" s="293" t="n">
        <f aca="false">(COUTMAX/1000000)*(B87-B86)/H87</f>
        <v>0.000312500000000006</v>
      </c>
      <c r="J87" s="294" t="n">
        <f aca="false">J86+I87</f>
        <v>0.0240625</v>
      </c>
      <c r="K87" s="287" t="n">
        <f aca="false">J87*1000</f>
        <v>24.0625</v>
      </c>
      <c r="L87" s="282" t="n">
        <f aca="false">H87/G87</f>
        <v>1</v>
      </c>
      <c r="M87" s="279" t="n">
        <f aca="false">1/COUTMAX*(E87/2-C87)*1000</f>
        <v>6.77283950617284</v>
      </c>
      <c r="N87" s="279" t="n">
        <f aca="false">I87*G87*(A87-B87)</f>
        <v>0.0249630177514798</v>
      </c>
      <c r="O87" s="279" t="n">
        <f aca="false">G87*(A87-B87)</f>
        <v>79.8816568047337</v>
      </c>
      <c r="P87" s="279" t="n">
        <f aca="false">(A87-B87)*(I_Cout_ss*$Q$2+C87)</f>
        <v>159.763313609467</v>
      </c>
      <c r="Q87" s="279" t="n">
        <f aca="false">(A87-B87)*(I_Cout_ss*$R$2+C87)</f>
        <v>29.9556213017751</v>
      </c>
    </row>
    <row r="88" customFormat="false" ht="13.2" hidden="false" customHeight="false" outlineLevel="0" collapsed="false">
      <c r="A88" s="279" t="n">
        <f aca="false">VINMAX</f>
        <v>50</v>
      </c>
      <c r="B88" s="289" t="n">
        <f aca="false">VINMAX*((ROW()-10)/104)</f>
        <v>37.5</v>
      </c>
      <c r="C88" s="290" t="n">
        <f aca="false">IF(B88&gt;=$H$2,IF($D$2="CC", $G$2, B88/$G$2), 0)</f>
        <v>0</v>
      </c>
      <c r="D88" s="291" t="n">
        <f aca="false">B2</f>
        <v>703.333333333333</v>
      </c>
      <c r="E88" s="292" t="n">
        <f aca="false">MIN(D88/(A88-B88),$C$2)</f>
        <v>56.2666666666667</v>
      </c>
      <c r="F88" s="290" t="n">
        <f aca="false">I_Cout_ss+C88</f>
        <v>6.15384615384615</v>
      </c>
      <c r="G88" s="292" t="n">
        <f aca="false">IF($F$2="YES", F88, E88)</f>
        <v>6.15384615384615</v>
      </c>
      <c r="H88" s="290" t="n">
        <f aca="false">G88-C88</f>
        <v>6.15384615384615</v>
      </c>
      <c r="I88" s="293" t="n">
        <f aca="false">(COUTMAX/1000000)*(B88-B87)/H88</f>
        <v>0.000312499999999997</v>
      </c>
      <c r="J88" s="294" t="n">
        <f aca="false">J87+I88</f>
        <v>0.024375</v>
      </c>
      <c r="K88" s="287" t="n">
        <f aca="false">J88*1000</f>
        <v>24.375</v>
      </c>
      <c r="L88" s="282" t="n">
        <f aca="false">H88/G88</f>
        <v>1</v>
      </c>
      <c r="M88" s="279" t="n">
        <f aca="false">1/COUTMAX*(E88/2-C88)*1000</f>
        <v>7.03333333333333</v>
      </c>
      <c r="N88" s="279" t="n">
        <f aca="false">I88*G88*(A88-B88)</f>
        <v>0.0240384615384613</v>
      </c>
      <c r="O88" s="279" t="n">
        <f aca="false">G88*(A88-B88)</f>
        <v>76.9230769230769</v>
      </c>
      <c r="P88" s="279" t="n">
        <f aca="false">(A88-B88)*(I_Cout_ss*$Q$2+C88)</f>
        <v>153.846153846154</v>
      </c>
      <c r="Q88" s="279" t="n">
        <f aca="false">(A88-B88)*(I_Cout_ss*$R$2+C88)</f>
        <v>28.8461538461538</v>
      </c>
    </row>
    <row r="89" customFormat="false" ht="13.2" hidden="false" customHeight="false" outlineLevel="0" collapsed="false">
      <c r="A89" s="279" t="n">
        <f aca="false">VINMAX</f>
        <v>50</v>
      </c>
      <c r="B89" s="289" t="n">
        <f aca="false">VINMAX*((ROW()-10)/104)</f>
        <v>37.9807692307692</v>
      </c>
      <c r="C89" s="290" t="n">
        <f aca="false">IF(B89&gt;=$H$2,IF($D$2="CC", $G$2, B89/$G$2), 0)</f>
        <v>0</v>
      </c>
      <c r="D89" s="291" t="n">
        <f aca="false">B2</f>
        <v>703.333333333333</v>
      </c>
      <c r="E89" s="292" t="n">
        <f aca="false">MIN(D89/(A89-B89),$C$2)</f>
        <v>58.5173333333333</v>
      </c>
      <c r="F89" s="290" t="n">
        <f aca="false">I_Cout_ss+C89</f>
        <v>6.15384615384615</v>
      </c>
      <c r="G89" s="292" t="n">
        <f aca="false">IF($F$2="YES", F89, E89)</f>
        <v>6.15384615384615</v>
      </c>
      <c r="H89" s="290" t="n">
        <f aca="false">G89-C89</f>
        <v>6.15384615384615</v>
      </c>
      <c r="I89" s="293" t="n">
        <f aca="false">(COUTMAX/1000000)*(B89-B88)/H89</f>
        <v>0.000312499999999997</v>
      </c>
      <c r="J89" s="294" t="n">
        <f aca="false">J88+I89</f>
        <v>0.0246875</v>
      </c>
      <c r="K89" s="287" t="n">
        <f aca="false">J89*1000</f>
        <v>24.6875</v>
      </c>
      <c r="L89" s="282" t="n">
        <f aca="false">H89/G89</f>
        <v>1</v>
      </c>
      <c r="M89" s="279" t="n">
        <f aca="false">1/COUTMAX*(E89/2-C89)*1000</f>
        <v>7.31466666666666</v>
      </c>
      <c r="N89" s="279" t="n">
        <f aca="false">I89*G89*(A89-B89)</f>
        <v>0.0231139053254436</v>
      </c>
      <c r="O89" s="279" t="n">
        <f aca="false">G89*(A89-B89)</f>
        <v>73.9644970414201</v>
      </c>
      <c r="P89" s="279" t="n">
        <f aca="false">(A89-B89)*(I_Cout_ss*$Q$2+C89)</f>
        <v>147.92899408284</v>
      </c>
      <c r="Q89" s="279" t="n">
        <f aca="false">(A89-B89)*(I_Cout_ss*$R$2+C89)</f>
        <v>27.7366863905326</v>
      </c>
    </row>
    <row r="90" customFormat="false" ht="13.2" hidden="false" customHeight="false" outlineLevel="0" collapsed="false">
      <c r="A90" s="279" t="n">
        <f aca="false">VINMAX</f>
        <v>50</v>
      </c>
      <c r="B90" s="289" t="n">
        <f aca="false">VINMAX*((ROW()-10)/104)</f>
        <v>38.4615384615385</v>
      </c>
      <c r="C90" s="290" t="n">
        <f aca="false">IF(B90&gt;=$H$2,IF($D$2="CC", $G$2, B90/$G$2), 0)</f>
        <v>0</v>
      </c>
      <c r="D90" s="291" t="n">
        <f aca="false">B2</f>
        <v>703.333333333333</v>
      </c>
      <c r="E90" s="292" t="n">
        <f aca="false">MIN(D90/(A90-B90),$C$2)</f>
        <v>60.9555555555556</v>
      </c>
      <c r="F90" s="290" t="n">
        <f aca="false">I_Cout_ss+C90</f>
        <v>6.15384615384615</v>
      </c>
      <c r="G90" s="292" t="n">
        <f aca="false">IF($F$2="YES", F90, E90)</f>
        <v>6.15384615384615</v>
      </c>
      <c r="H90" s="290" t="n">
        <f aca="false">G90-C90</f>
        <v>6.15384615384615</v>
      </c>
      <c r="I90" s="293" t="n">
        <f aca="false">(COUTMAX/1000000)*(B90-B89)/H90</f>
        <v>0.000312500000000006</v>
      </c>
      <c r="J90" s="294" t="n">
        <f aca="false">J89+I90</f>
        <v>0.025</v>
      </c>
      <c r="K90" s="287" t="n">
        <f aca="false">J90*1000</f>
        <v>25</v>
      </c>
      <c r="L90" s="282" t="n">
        <f aca="false">H90/G90</f>
        <v>1</v>
      </c>
      <c r="M90" s="279" t="n">
        <f aca="false">1/COUTMAX*(E90/2-C90)*1000</f>
        <v>7.61944444444445</v>
      </c>
      <c r="N90" s="279" t="n">
        <f aca="false">I90*G90*(A90-B90)</f>
        <v>0.0221893491124265</v>
      </c>
      <c r="O90" s="279" t="n">
        <f aca="false">G90*(A90-B90)</f>
        <v>71.0059171597633</v>
      </c>
      <c r="P90" s="279" t="n">
        <f aca="false">(A90-B90)*(I_Cout_ss*$Q$2+C90)</f>
        <v>142.011834319527</v>
      </c>
      <c r="Q90" s="279" t="n">
        <f aca="false">(A90-B90)*(I_Cout_ss*$R$2+C90)</f>
        <v>26.6272189349112</v>
      </c>
    </row>
    <row r="91" customFormat="false" ht="13.2" hidden="false" customHeight="false" outlineLevel="0" collapsed="false">
      <c r="A91" s="279" t="n">
        <f aca="false">VINMAX</f>
        <v>50</v>
      </c>
      <c r="B91" s="289" t="n">
        <f aca="false">VINMAX*((ROW()-10)/104)</f>
        <v>38.9423076923077</v>
      </c>
      <c r="C91" s="290" t="n">
        <f aca="false">IF(B91&gt;=$H$2,IF($D$2="CC", $G$2, B91/$G$2), 0)</f>
        <v>0</v>
      </c>
      <c r="D91" s="291" t="n">
        <f aca="false">B2</f>
        <v>703.333333333333</v>
      </c>
      <c r="E91" s="292" t="n">
        <f aca="false">MIN(D91/(A91-B91),$C$2)</f>
        <v>63.6057971014493</v>
      </c>
      <c r="F91" s="290" t="n">
        <f aca="false">I_Cout_ss+C91</f>
        <v>6.15384615384615</v>
      </c>
      <c r="G91" s="292" t="n">
        <f aca="false">IF($F$2="YES", F91, E91)</f>
        <v>6.15384615384615</v>
      </c>
      <c r="H91" s="290" t="n">
        <f aca="false">G91-C91</f>
        <v>6.15384615384615</v>
      </c>
      <c r="I91" s="293" t="n">
        <f aca="false">(COUTMAX/1000000)*(B91-B90)/H91</f>
        <v>0.000312499999999997</v>
      </c>
      <c r="J91" s="294" t="n">
        <f aca="false">J90+I91</f>
        <v>0.0253125</v>
      </c>
      <c r="K91" s="287" t="n">
        <f aca="false">J91*1000</f>
        <v>25.3125</v>
      </c>
      <c r="L91" s="282" t="n">
        <f aca="false">H91/G91</f>
        <v>1</v>
      </c>
      <c r="M91" s="279" t="n">
        <f aca="false">1/COUTMAX*(E91/2-C91)*1000</f>
        <v>7.95072463768116</v>
      </c>
      <c r="N91" s="279" t="n">
        <f aca="false">I91*G91*(A91-B91)</f>
        <v>0.0212647928994081</v>
      </c>
      <c r="O91" s="279" t="n">
        <f aca="false">G91*(A91-B91)</f>
        <v>68.0473372781065</v>
      </c>
      <c r="P91" s="279" t="n">
        <f aca="false">(A91-B91)*(I_Cout_ss*$Q$2+C91)</f>
        <v>136.094674556213</v>
      </c>
      <c r="Q91" s="279" t="n">
        <f aca="false">(A91-B91)*(I_Cout_ss*$R$2+C91)</f>
        <v>25.5177514792899</v>
      </c>
    </row>
    <row r="92" customFormat="false" ht="13.2" hidden="false" customHeight="false" outlineLevel="0" collapsed="false">
      <c r="A92" s="279" t="n">
        <f aca="false">VINMAX</f>
        <v>50</v>
      </c>
      <c r="B92" s="289" t="n">
        <f aca="false">VINMAX*((ROW()-10)/104)</f>
        <v>39.4230769230769</v>
      </c>
      <c r="C92" s="290" t="n">
        <f aca="false">IF(B92&gt;=$H$2,IF($D$2="CC", $G$2, B92/$G$2), 0)</f>
        <v>0</v>
      </c>
      <c r="D92" s="291" t="n">
        <f aca="false">B2</f>
        <v>703.333333333333</v>
      </c>
      <c r="E92" s="292" t="n">
        <f aca="false">MIN(D92/(A92-B92),$C$2)</f>
        <v>66.4969696969697</v>
      </c>
      <c r="F92" s="290" t="n">
        <f aca="false">I_Cout_ss+C92</f>
        <v>6.15384615384615</v>
      </c>
      <c r="G92" s="292" t="n">
        <f aca="false">IF($F$2="YES", F92, E92)</f>
        <v>6.15384615384615</v>
      </c>
      <c r="H92" s="290" t="n">
        <f aca="false">G92-C92</f>
        <v>6.15384615384615</v>
      </c>
      <c r="I92" s="293" t="n">
        <f aca="false">(COUTMAX/1000000)*(B92-B91)/H92</f>
        <v>0.000312499999999997</v>
      </c>
      <c r="J92" s="294" t="n">
        <f aca="false">J91+I92</f>
        <v>0.025625</v>
      </c>
      <c r="K92" s="287" t="n">
        <f aca="false">J92*1000</f>
        <v>25.625</v>
      </c>
      <c r="L92" s="282" t="n">
        <f aca="false">H92/G92</f>
        <v>1</v>
      </c>
      <c r="M92" s="279" t="n">
        <f aca="false">1/COUTMAX*(E92/2-C92)*1000</f>
        <v>8.31212121212121</v>
      </c>
      <c r="N92" s="279" t="n">
        <f aca="false">I92*G92*(A92-B92)</f>
        <v>0.0203402366863904</v>
      </c>
      <c r="O92" s="279" t="n">
        <f aca="false">G92*(A92-B92)</f>
        <v>65.0887573964497</v>
      </c>
      <c r="P92" s="279" t="n">
        <f aca="false">(A92-B92)*(I_Cout_ss*$Q$2+C92)</f>
        <v>130.177514792899</v>
      </c>
      <c r="Q92" s="279" t="n">
        <f aca="false">(A92-B92)*(I_Cout_ss*$R$2+C92)</f>
        <v>24.4082840236686</v>
      </c>
    </row>
    <row r="93" customFormat="false" ht="13.2" hidden="false" customHeight="false" outlineLevel="0" collapsed="false">
      <c r="A93" s="279" t="n">
        <f aca="false">VINMAX</f>
        <v>50</v>
      </c>
      <c r="B93" s="289" t="n">
        <f aca="false">VINMAX*((ROW()-10)/104)</f>
        <v>39.9038461538462</v>
      </c>
      <c r="C93" s="290" t="n">
        <f aca="false">IF(B93&gt;=$H$2,IF($D$2="CC", $G$2, B93/$G$2), 0)</f>
        <v>0</v>
      </c>
      <c r="D93" s="291" t="n">
        <f aca="false">B2</f>
        <v>703.333333333333</v>
      </c>
      <c r="E93" s="292" t="n">
        <f aca="false">MIN(D93/(A93-B93),$C$2)</f>
        <v>69.6634920634921</v>
      </c>
      <c r="F93" s="290" t="n">
        <f aca="false">I_Cout_ss+C93</f>
        <v>6.15384615384615</v>
      </c>
      <c r="G93" s="292" t="n">
        <f aca="false">IF($F$2="YES", F93, E93)</f>
        <v>6.15384615384615</v>
      </c>
      <c r="H93" s="290" t="n">
        <f aca="false">G93-C93</f>
        <v>6.15384615384615</v>
      </c>
      <c r="I93" s="293" t="n">
        <f aca="false">(COUTMAX/1000000)*(B93-B92)/H93</f>
        <v>0.000312500000000002</v>
      </c>
      <c r="J93" s="294" t="n">
        <f aca="false">J92+I93</f>
        <v>0.0259375</v>
      </c>
      <c r="K93" s="287" t="n">
        <f aca="false">J93*1000</f>
        <v>25.9375</v>
      </c>
      <c r="L93" s="282" t="n">
        <f aca="false">H93/G93</f>
        <v>1</v>
      </c>
      <c r="M93" s="279" t="n">
        <f aca="false">1/COUTMAX*(E93/2-C93)*1000</f>
        <v>8.70793650793651</v>
      </c>
      <c r="N93" s="279" t="n">
        <f aca="false">I93*G93*(A93-B93)</f>
        <v>0.0194156804733729</v>
      </c>
      <c r="O93" s="279" t="n">
        <f aca="false">G93*(A93-B93)</f>
        <v>62.1301775147929</v>
      </c>
      <c r="P93" s="279" t="n">
        <f aca="false">(A93-B93)*(I_Cout_ss*$Q$2+C93)</f>
        <v>124.260355029586</v>
      </c>
      <c r="Q93" s="279" t="n">
        <f aca="false">(A93-B93)*(I_Cout_ss*$R$2+C93)</f>
        <v>23.2988165680473</v>
      </c>
    </row>
    <row r="94" customFormat="false" ht="13.2" hidden="false" customHeight="false" outlineLevel="0" collapsed="false">
      <c r="A94" s="279" t="n">
        <f aca="false">VINMAX</f>
        <v>50</v>
      </c>
      <c r="B94" s="289" t="n">
        <f aca="false">VINMAX*((ROW()-10)/104)</f>
        <v>40.3846153846154</v>
      </c>
      <c r="C94" s="290" t="n">
        <f aca="false">IF(B94&gt;=$H$2,IF($D$2="CC", $G$2, B94/$G$2), 0)</f>
        <v>0</v>
      </c>
      <c r="D94" s="291" t="n">
        <f aca="false">B2</f>
        <v>703.333333333333</v>
      </c>
      <c r="E94" s="292" t="n">
        <f aca="false">MIN(D94/(A94-B94),$C$2)</f>
        <v>73.1466666666667</v>
      </c>
      <c r="F94" s="290" t="n">
        <f aca="false">I_Cout_ss+C94</f>
        <v>6.15384615384615</v>
      </c>
      <c r="G94" s="292" t="n">
        <f aca="false">IF($F$2="YES", F94, E94)</f>
        <v>6.15384615384615</v>
      </c>
      <c r="H94" s="290" t="n">
        <f aca="false">G94-C94</f>
        <v>6.15384615384615</v>
      </c>
      <c r="I94" s="293" t="n">
        <f aca="false">(COUTMAX/1000000)*(B94-B93)/H94</f>
        <v>0.000312500000000002</v>
      </c>
      <c r="J94" s="294" t="n">
        <f aca="false">J93+I94</f>
        <v>0.02625</v>
      </c>
      <c r="K94" s="287" t="n">
        <f aca="false">J94*1000</f>
        <v>26.25</v>
      </c>
      <c r="L94" s="282" t="n">
        <f aca="false">H94/G94</f>
        <v>1</v>
      </c>
      <c r="M94" s="279" t="n">
        <f aca="false">1/COUTMAX*(E94/2-C94)*1000</f>
        <v>9.14333333333333</v>
      </c>
      <c r="N94" s="279" t="n">
        <f aca="false">I94*G94*(A94-B94)</f>
        <v>0.0184911242603551</v>
      </c>
      <c r="O94" s="279" t="n">
        <f aca="false">G94*(A94-B94)</f>
        <v>59.1715976331361</v>
      </c>
      <c r="P94" s="279" t="n">
        <f aca="false">(A94-B94)*(I_Cout_ss*$Q$2+C94)</f>
        <v>118.343195266272</v>
      </c>
      <c r="Q94" s="279" t="n">
        <f aca="false">(A94-B94)*(I_Cout_ss*$R$2+C94)</f>
        <v>22.189349112426</v>
      </c>
    </row>
    <row r="95" customFormat="false" ht="13.2" hidden="false" customHeight="false" outlineLevel="0" collapsed="false">
      <c r="A95" s="279" t="n">
        <f aca="false">VINMAX</f>
        <v>50</v>
      </c>
      <c r="B95" s="289" t="n">
        <f aca="false">VINMAX*((ROW()-10)/104)</f>
        <v>40.8653846153846</v>
      </c>
      <c r="C95" s="290" t="n">
        <f aca="false">IF(B95&gt;=$H$2,IF($D$2="CC", $G$2, B95/$G$2), 0)</f>
        <v>0</v>
      </c>
      <c r="D95" s="291" t="n">
        <f aca="false">B2</f>
        <v>703.333333333333</v>
      </c>
      <c r="E95" s="292" t="n">
        <f aca="false">MIN(D95/(A95-B95),$C$2)</f>
        <v>76.9964912280702</v>
      </c>
      <c r="F95" s="290" t="n">
        <f aca="false">I_Cout_ss+C95</f>
        <v>6.15384615384615</v>
      </c>
      <c r="G95" s="292" t="n">
        <f aca="false">IF($F$2="YES", F95, E95)</f>
        <v>6.15384615384615</v>
      </c>
      <c r="H95" s="290" t="n">
        <f aca="false">G95-C95</f>
        <v>6.15384615384615</v>
      </c>
      <c r="I95" s="293" t="n">
        <f aca="false">(COUTMAX/1000000)*(B95-B94)/H95</f>
        <v>0.000312499999999997</v>
      </c>
      <c r="J95" s="294" t="n">
        <f aca="false">J94+I95</f>
        <v>0.0265625</v>
      </c>
      <c r="K95" s="287" t="n">
        <f aca="false">J95*1000</f>
        <v>26.5625</v>
      </c>
      <c r="L95" s="282" t="n">
        <f aca="false">H95/G95</f>
        <v>1</v>
      </c>
      <c r="M95" s="279" t="n">
        <f aca="false">1/COUTMAX*(E95/2-C95)*1000</f>
        <v>9.62456140350877</v>
      </c>
      <c r="N95" s="279" t="n">
        <f aca="false">I95*G95*(A95-B95)</f>
        <v>0.0175665680473371</v>
      </c>
      <c r="O95" s="279" t="n">
        <f aca="false">G95*(A95-B95)</f>
        <v>56.2130177514793</v>
      </c>
      <c r="P95" s="279" t="n">
        <f aca="false">(A95-B95)*(I_Cout_ss*$Q$2+C95)</f>
        <v>112.426035502959</v>
      </c>
      <c r="Q95" s="279" t="n">
        <f aca="false">(A95-B95)*(I_Cout_ss*$R$2+C95)</f>
        <v>21.0798816568047</v>
      </c>
    </row>
    <row r="96" customFormat="false" ht="13.2" hidden="false" customHeight="false" outlineLevel="0" collapsed="false">
      <c r="A96" s="279" t="n">
        <f aca="false">VINMAX</f>
        <v>50</v>
      </c>
      <c r="B96" s="289" t="n">
        <f aca="false">VINMAX*((ROW()-10)/104)</f>
        <v>41.3461538461539</v>
      </c>
      <c r="C96" s="290" t="n">
        <f aca="false">IF(B96&gt;=$H$2,IF($D$2="CC", $G$2, B96/$G$2), 0)</f>
        <v>0</v>
      </c>
      <c r="D96" s="291" t="n">
        <f aca="false">B2</f>
        <v>703.333333333333</v>
      </c>
      <c r="E96" s="292" t="n">
        <f aca="false">MIN(D96/(A96-B96),$C$2)</f>
        <v>81.2740740740741</v>
      </c>
      <c r="F96" s="290" t="n">
        <f aca="false">I_Cout_ss+C96</f>
        <v>6.15384615384615</v>
      </c>
      <c r="G96" s="292" t="n">
        <f aca="false">IF($F$2="YES", F96, E96)</f>
        <v>6.15384615384615</v>
      </c>
      <c r="H96" s="290" t="n">
        <f aca="false">G96-C96</f>
        <v>6.15384615384615</v>
      </c>
      <c r="I96" s="293" t="n">
        <f aca="false">(COUTMAX/1000000)*(B96-B95)/H96</f>
        <v>0.000312500000000002</v>
      </c>
      <c r="J96" s="294" t="n">
        <f aca="false">J95+I96</f>
        <v>0.026875</v>
      </c>
      <c r="K96" s="287" t="n">
        <f aca="false">J96*1000</f>
        <v>26.875</v>
      </c>
      <c r="L96" s="282" t="n">
        <f aca="false">H96/G96</f>
        <v>1</v>
      </c>
      <c r="M96" s="279" t="n">
        <f aca="false">1/COUTMAX*(E96/2-C96)*1000</f>
        <v>10.1592592592593</v>
      </c>
      <c r="N96" s="279" t="n">
        <f aca="false">I96*G96*(A96-B96)</f>
        <v>0.0166420118343196</v>
      </c>
      <c r="O96" s="279" t="n">
        <f aca="false">G96*(A96-B96)</f>
        <v>53.2544378698225</v>
      </c>
      <c r="P96" s="279" t="n">
        <f aca="false">(A96-B96)*(I_Cout_ss*$Q$2+C96)</f>
        <v>106.508875739645</v>
      </c>
      <c r="Q96" s="279" t="n">
        <f aca="false">(A96-B96)*(I_Cout_ss*$R$2+C96)</f>
        <v>19.9704142011834</v>
      </c>
    </row>
    <row r="97" customFormat="false" ht="13.2" hidden="false" customHeight="false" outlineLevel="0" collapsed="false">
      <c r="A97" s="279" t="n">
        <f aca="false">VINMAX</f>
        <v>50</v>
      </c>
      <c r="B97" s="289" t="n">
        <f aca="false">VINMAX*((ROW()-10)/104)</f>
        <v>41.8269230769231</v>
      </c>
      <c r="C97" s="290" t="n">
        <f aca="false">IF(B97&gt;=$H$2,IF($D$2="CC", $G$2, B97/$G$2), 0)</f>
        <v>0</v>
      </c>
      <c r="D97" s="291" t="n">
        <f aca="false">B2</f>
        <v>703.333333333333</v>
      </c>
      <c r="E97" s="292" t="n">
        <f aca="false">MIN(D97/(A97-B97),$C$2)</f>
        <v>86.0549019607843</v>
      </c>
      <c r="F97" s="290" t="n">
        <f aca="false">I_Cout_ss+C97</f>
        <v>6.15384615384615</v>
      </c>
      <c r="G97" s="292" t="n">
        <f aca="false">IF($F$2="YES", F97, E97)</f>
        <v>6.15384615384615</v>
      </c>
      <c r="H97" s="290" t="n">
        <f aca="false">G97-C97</f>
        <v>6.15384615384615</v>
      </c>
      <c r="I97" s="293" t="n">
        <f aca="false">(COUTMAX/1000000)*(B97-B96)/H97</f>
        <v>0.000312500000000002</v>
      </c>
      <c r="J97" s="294" t="n">
        <f aca="false">J96+I97</f>
        <v>0.0271875</v>
      </c>
      <c r="K97" s="287" t="n">
        <f aca="false">J97*1000</f>
        <v>27.1875</v>
      </c>
      <c r="L97" s="282" t="n">
        <f aca="false">H97/G97</f>
        <v>1</v>
      </c>
      <c r="M97" s="279" t="n">
        <f aca="false">1/COUTMAX*(E97/2-C97)*1000</f>
        <v>10.756862745098</v>
      </c>
      <c r="N97" s="279" t="n">
        <f aca="false">I97*G97*(A97-B97)</f>
        <v>0.0157174556213019</v>
      </c>
      <c r="O97" s="279" t="n">
        <f aca="false">G97*(A97-B97)</f>
        <v>50.2958579881657</v>
      </c>
      <c r="P97" s="279" t="n">
        <f aca="false">(A97-B97)*(I_Cout_ss*$Q$2+C97)</f>
        <v>100.591715976331</v>
      </c>
      <c r="Q97" s="279" t="n">
        <f aca="false">(A97-B97)*(I_Cout_ss*$R$2+C97)</f>
        <v>18.8609467455621</v>
      </c>
    </row>
    <row r="98" customFormat="false" ht="13.2" hidden="false" customHeight="false" outlineLevel="0" collapsed="false">
      <c r="A98" s="279" t="n">
        <f aca="false">VINMAX</f>
        <v>50</v>
      </c>
      <c r="B98" s="289" t="n">
        <f aca="false">VINMAX*((ROW()-10)/104)</f>
        <v>42.3076923076923</v>
      </c>
      <c r="C98" s="290" t="n">
        <f aca="false">IF(B98&gt;=$H$2,IF($D$2="CC", $G$2, B98/$G$2), 0)</f>
        <v>0</v>
      </c>
      <c r="D98" s="291" t="n">
        <f aca="false">B2</f>
        <v>703.333333333333</v>
      </c>
      <c r="E98" s="292" t="n">
        <f aca="false">MIN(D98/(A98-B98),$C$2)</f>
        <v>86.6666666666667</v>
      </c>
      <c r="F98" s="290" t="n">
        <f aca="false">I_Cout_ss+C98</f>
        <v>6.15384615384615</v>
      </c>
      <c r="G98" s="292" t="n">
        <f aca="false">IF($F$2="YES", F98, E98)</f>
        <v>6.15384615384615</v>
      </c>
      <c r="H98" s="290" t="n">
        <f aca="false">G98-C98</f>
        <v>6.15384615384615</v>
      </c>
      <c r="I98" s="293" t="n">
        <f aca="false">(COUTMAX/1000000)*(B98-B97)/H98</f>
        <v>0.000312499999999997</v>
      </c>
      <c r="J98" s="294" t="n">
        <f aca="false">J97+I98</f>
        <v>0.0275</v>
      </c>
      <c r="K98" s="287" t="n">
        <f aca="false">J98*1000</f>
        <v>27.5</v>
      </c>
      <c r="L98" s="282" t="n">
        <f aca="false">H98/G98</f>
        <v>1</v>
      </c>
      <c r="M98" s="279" t="n">
        <f aca="false">1/COUTMAX*(E98/2-C98)*1000</f>
        <v>10.8333333333333</v>
      </c>
      <c r="N98" s="279" t="n">
        <f aca="false">I98*G98*(A98-B98)</f>
        <v>0.0147928994082839</v>
      </c>
      <c r="O98" s="279" t="n">
        <f aca="false">G98*(A98-B98)</f>
        <v>47.3372781065089</v>
      </c>
      <c r="P98" s="279" t="n">
        <f aca="false">(A98-B98)*(I_Cout_ss*$Q$2+C98)</f>
        <v>94.6745562130178</v>
      </c>
      <c r="Q98" s="279" t="n">
        <f aca="false">(A98-B98)*(I_Cout_ss*$R$2+C98)</f>
        <v>17.7514792899408</v>
      </c>
    </row>
    <row r="99" customFormat="false" ht="13.2" hidden="false" customHeight="false" outlineLevel="0" collapsed="false">
      <c r="A99" s="279" t="n">
        <f aca="false">VINMAX</f>
        <v>50</v>
      </c>
      <c r="B99" s="289" t="n">
        <f aca="false">VINMAX*((ROW()-10)/104)</f>
        <v>42.7884615384615</v>
      </c>
      <c r="C99" s="290" t="n">
        <f aca="false">IF(B99&gt;=$H$2,IF($D$2="CC", $G$2, B99/$G$2), 0)</f>
        <v>0</v>
      </c>
      <c r="D99" s="291" t="n">
        <f aca="false">B2</f>
        <v>703.333333333333</v>
      </c>
      <c r="E99" s="292" t="n">
        <f aca="false">MIN(D99/(A99-B99),$C$2)</f>
        <v>86.6666666666667</v>
      </c>
      <c r="F99" s="290" t="n">
        <f aca="false">I_Cout_ss+C99</f>
        <v>6.15384615384615</v>
      </c>
      <c r="G99" s="292" t="n">
        <f aca="false">IF($F$2="YES", F99, E99)</f>
        <v>6.15384615384615</v>
      </c>
      <c r="H99" s="290" t="n">
        <f aca="false">G99-C99</f>
        <v>6.15384615384615</v>
      </c>
      <c r="I99" s="293" t="n">
        <f aca="false">(COUTMAX/1000000)*(B99-B98)/H99</f>
        <v>0.000312499999999997</v>
      </c>
      <c r="J99" s="294" t="n">
        <f aca="false">J98+I99</f>
        <v>0.0278125</v>
      </c>
      <c r="K99" s="287" t="n">
        <f aca="false">J99*1000</f>
        <v>27.8125</v>
      </c>
      <c r="L99" s="282" t="n">
        <f aca="false">H99/G99</f>
        <v>1</v>
      </c>
      <c r="M99" s="279" t="n">
        <f aca="false">1/COUTMAX*(E99/2-C99)*1000</f>
        <v>10.8333333333333</v>
      </c>
      <c r="N99" s="279" t="n">
        <f aca="false">I99*G99*(A99-B99)</f>
        <v>0.0138683431952662</v>
      </c>
      <c r="O99" s="279" t="n">
        <f aca="false">G99*(A99-B99)</f>
        <v>44.3786982248521</v>
      </c>
      <c r="P99" s="279" t="n">
        <f aca="false">(A99-B99)*(I_Cout_ss*$Q$2+C99)</f>
        <v>88.7573964497042</v>
      </c>
      <c r="Q99" s="279" t="n">
        <f aca="false">(A99-B99)*(I_Cout_ss*$R$2+C99)</f>
        <v>16.6420118343195</v>
      </c>
    </row>
    <row r="100" customFormat="false" ht="13.2" hidden="false" customHeight="false" outlineLevel="0" collapsed="false">
      <c r="A100" s="279" t="n">
        <f aca="false">VINMAX</f>
        <v>50</v>
      </c>
      <c r="B100" s="289" t="n">
        <f aca="false">VINMAX*((ROW()-10)/104)</f>
        <v>43.2692307692308</v>
      </c>
      <c r="C100" s="290" t="n">
        <f aca="false">IF(B100&gt;=$H$2,IF($D$2="CC", $G$2, B100/$G$2), 0)</f>
        <v>0</v>
      </c>
      <c r="D100" s="291" t="n">
        <f aca="false">B2</f>
        <v>703.333333333333</v>
      </c>
      <c r="E100" s="292" t="n">
        <f aca="false">MIN(D100/(A100-B100),$C$2)</f>
        <v>86.6666666666667</v>
      </c>
      <c r="F100" s="290" t="n">
        <f aca="false">I_Cout_ss+C100</f>
        <v>6.15384615384615</v>
      </c>
      <c r="G100" s="292" t="n">
        <f aca="false">IF($F$2="YES", F100, E100)</f>
        <v>6.15384615384615</v>
      </c>
      <c r="H100" s="290" t="n">
        <f aca="false">G100-C100</f>
        <v>6.15384615384615</v>
      </c>
      <c r="I100" s="293" t="n">
        <f aca="false">(COUTMAX/1000000)*(B100-B99)/H100</f>
        <v>0.000312500000000006</v>
      </c>
      <c r="J100" s="294" t="n">
        <f aca="false">J99+I100</f>
        <v>0.028125</v>
      </c>
      <c r="K100" s="287" t="n">
        <f aca="false">J100*1000</f>
        <v>28.125</v>
      </c>
      <c r="L100" s="282" t="n">
        <f aca="false">H100/G100</f>
        <v>1</v>
      </c>
      <c r="M100" s="279" t="n">
        <f aca="false">1/COUTMAX*(E100/2-C100)*1000</f>
        <v>10.8333333333333</v>
      </c>
      <c r="N100" s="279" t="n">
        <f aca="false">I100*G100*(A100-B100)</f>
        <v>0.0129437869822488</v>
      </c>
      <c r="O100" s="279" t="n">
        <f aca="false">G100*(A100-B100)</f>
        <v>41.4201183431952</v>
      </c>
      <c r="P100" s="279" t="n">
        <f aca="false">(A100-B100)*(I_Cout_ss*$Q$2+C100)</f>
        <v>82.8402366863905</v>
      </c>
      <c r="Q100" s="279" t="n">
        <f aca="false">(A100-B100)*(I_Cout_ss*$R$2+C100)</f>
        <v>15.5325443786982</v>
      </c>
    </row>
    <row r="101" customFormat="false" ht="13.2" hidden="false" customHeight="false" outlineLevel="0" collapsed="false">
      <c r="A101" s="279" t="n">
        <f aca="false">VINMAX</f>
        <v>50</v>
      </c>
      <c r="B101" s="289" t="n">
        <f aca="false">VINMAX*((ROW()-10)/104)</f>
        <v>43.75</v>
      </c>
      <c r="C101" s="290" t="n">
        <f aca="false">IF(B101&gt;=$H$2,IF($D$2="CC", $G$2, B101/$G$2), 0)</f>
        <v>0</v>
      </c>
      <c r="D101" s="291" t="n">
        <f aca="false">B2</f>
        <v>703.333333333333</v>
      </c>
      <c r="E101" s="292" t="n">
        <f aca="false">MIN(D101/(A101-B101),$C$2)</f>
        <v>86.6666666666667</v>
      </c>
      <c r="F101" s="290" t="n">
        <f aca="false">I_Cout_ss+C101</f>
        <v>6.15384615384615</v>
      </c>
      <c r="G101" s="292" t="n">
        <f aca="false">IF($F$2="YES", F101, E101)</f>
        <v>6.15384615384615</v>
      </c>
      <c r="H101" s="290" t="n">
        <f aca="false">G101-C101</f>
        <v>6.15384615384615</v>
      </c>
      <c r="I101" s="293" t="n">
        <f aca="false">(COUTMAX/1000000)*(B101-B100)/H101</f>
        <v>0.000312499999999997</v>
      </c>
      <c r="J101" s="294" t="n">
        <f aca="false">J100+I101</f>
        <v>0.0284375</v>
      </c>
      <c r="K101" s="287" t="n">
        <f aca="false">J101*1000</f>
        <v>28.4375</v>
      </c>
      <c r="L101" s="282" t="n">
        <f aca="false">H101/G101</f>
        <v>1</v>
      </c>
      <c r="M101" s="279" t="n">
        <f aca="false">1/COUTMAX*(E101/2-C101)*1000</f>
        <v>10.8333333333333</v>
      </c>
      <c r="N101" s="279" t="n">
        <f aca="false">I101*G101*(A101-B101)</f>
        <v>0.0120192307692307</v>
      </c>
      <c r="O101" s="279" t="n">
        <f aca="false">G101*(A101-B101)</f>
        <v>38.4615384615385</v>
      </c>
      <c r="P101" s="279" t="n">
        <f aca="false">(A101-B101)*(I_Cout_ss*$Q$2+C101)</f>
        <v>76.9230769230769</v>
      </c>
      <c r="Q101" s="279" t="n">
        <f aca="false">(A101-B101)*(I_Cout_ss*$R$2+C101)</f>
        <v>14.4230769230769</v>
      </c>
    </row>
    <row r="102" customFormat="false" ht="13.2" hidden="false" customHeight="false" outlineLevel="0" collapsed="false">
      <c r="A102" s="279" t="n">
        <f aca="false">VINMAX</f>
        <v>50</v>
      </c>
      <c r="B102" s="289" t="n">
        <f aca="false">VINMAX*((ROW()-10)/104)</f>
        <v>44.2307692307692</v>
      </c>
      <c r="C102" s="290" t="n">
        <f aca="false">IF(B102&gt;=$H$2,IF($D$2="CC", $G$2, B102/$G$2), 0)</f>
        <v>0</v>
      </c>
      <c r="D102" s="291" t="n">
        <f aca="false">B2</f>
        <v>703.333333333333</v>
      </c>
      <c r="E102" s="292" t="n">
        <f aca="false">MIN(D102/(A102-B102),$C$2)</f>
        <v>86.6666666666667</v>
      </c>
      <c r="F102" s="290" t="n">
        <f aca="false">I_Cout_ss+C102</f>
        <v>6.15384615384615</v>
      </c>
      <c r="G102" s="292" t="n">
        <f aca="false">IF($F$2="YES", F102, E102)</f>
        <v>6.15384615384615</v>
      </c>
      <c r="H102" s="290" t="n">
        <f aca="false">G102-C102</f>
        <v>6.15384615384615</v>
      </c>
      <c r="I102" s="293" t="n">
        <f aca="false">(COUTMAX/1000000)*(B102-B101)/H102</f>
        <v>0.000312499999999997</v>
      </c>
      <c r="J102" s="294" t="n">
        <f aca="false">J101+I102</f>
        <v>0.02875</v>
      </c>
      <c r="K102" s="287" t="n">
        <f aca="false">J102*1000</f>
        <v>28.75</v>
      </c>
      <c r="L102" s="282" t="n">
        <f aca="false">H102/G102</f>
        <v>1</v>
      </c>
      <c r="M102" s="279" t="n">
        <f aca="false">1/COUTMAX*(E102/2-C102)*1000</f>
        <v>10.8333333333333</v>
      </c>
      <c r="N102" s="279" t="n">
        <f aca="false">I102*G102*(A102-B102)</f>
        <v>0.0110946745562129</v>
      </c>
      <c r="O102" s="279" t="n">
        <f aca="false">G102*(A102-B102)</f>
        <v>35.5029585798817</v>
      </c>
      <c r="P102" s="279" t="n">
        <f aca="false">(A102-B102)*(I_Cout_ss*$Q$2+C102)</f>
        <v>71.0059171597634</v>
      </c>
      <c r="Q102" s="279" t="n">
        <f aca="false">(A102-B102)*(I_Cout_ss*$R$2+C102)</f>
        <v>13.3136094674556</v>
      </c>
    </row>
    <row r="103" customFormat="false" ht="13.2" hidden="false" customHeight="false" outlineLevel="0" collapsed="false">
      <c r="A103" s="279" t="n">
        <f aca="false">VINMAX</f>
        <v>50</v>
      </c>
      <c r="B103" s="289" t="n">
        <f aca="false">VINMAX*((ROW()-10)/104)</f>
        <v>44.7115384615385</v>
      </c>
      <c r="C103" s="290" t="n">
        <f aca="false">IF(B103&gt;=$H$2,IF($D$2="CC", $G$2, B103/$G$2), 0)</f>
        <v>0</v>
      </c>
      <c r="D103" s="291" t="n">
        <f aca="false">B2</f>
        <v>703.333333333333</v>
      </c>
      <c r="E103" s="292" t="n">
        <f aca="false">MIN(D103/(A103-B103),$C$2)</f>
        <v>86.6666666666667</v>
      </c>
      <c r="F103" s="290" t="n">
        <f aca="false">I_Cout_ss+C103</f>
        <v>6.15384615384615</v>
      </c>
      <c r="G103" s="292" t="n">
        <f aca="false">IF($F$2="YES", F103, E103)</f>
        <v>6.15384615384615</v>
      </c>
      <c r="H103" s="290" t="n">
        <f aca="false">G103-C103</f>
        <v>6.15384615384615</v>
      </c>
      <c r="I103" s="293" t="n">
        <f aca="false">(COUTMAX/1000000)*(B103-B102)/H103</f>
        <v>0.000312500000000006</v>
      </c>
      <c r="J103" s="294" t="n">
        <f aca="false">J102+I103</f>
        <v>0.0290625</v>
      </c>
      <c r="K103" s="287" t="n">
        <f aca="false">J103*1000</f>
        <v>29.0625</v>
      </c>
      <c r="L103" s="282" t="n">
        <f aca="false">H103/G103</f>
        <v>1</v>
      </c>
      <c r="M103" s="279" t="n">
        <f aca="false">1/COUTMAX*(E103/2-C103)*1000</f>
        <v>10.8333333333333</v>
      </c>
      <c r="N103" s="279" t="n">
        <f aca="false">I103*G103*(A103-B103)</f>
        <v>0.0101701183431955</v>
      </c>
      <c r="O103" s="279" t="n">
        <f aca="false">G103*(A103-B103)</f>
        <v>32.5443786982248</v>
      </c>
      <c r="P103" s="279" t="n">
        <f aca="false">(A103-B103)*(I_Cout_ss*$Q$2+C103)</f>
        <v>65.0887573964496</v>
      </c>
      <c r="Q103" s="279" t="n">
        <f aca="false">(A103-B103)*(I_Cout_ss*$R$2+C103)</f>
        <v>12.2041420118343</v>
      </c>
    </row>
    <row r="104" customFormat="false" ht="13.2" hidden="false" customHeight="false" outlineLevel="0" collapsed="false">
      <c r="A104" s="279" t="n">
        <f aca="false">VINMAX</f>
        <v>50</v>
      </c>
      <c r="B104" s="289" t="n">
        <f aca="false">VINMAX*((ROW()-10)/104)</f>
        <v>45.1923076923077</v>
      </c>
      <c r="C104" s="290" t="n">
        <f aca="false">IF(B104&gt;=$H$2,IF($D$2="CC", $G$2, B104/$G$2), 0)</f>
        <v>0</v>
      </c>
      <c r="D104" s="291" t="n">
        <f aca="false">B2</f>
        <v>703.333333333333</v>
      </c>
      <c r="E104" s="292" t="n">
        <f aca="false">MIN(D104/(A104-B104),$C$2)</f>
        <v>86.6666666666667</v>
      </c>
      <c r="F104" s="290" t="n">
        <f aca="false">I_Cout_ss+C104</f>
        <v>6.15384615384615</v>
      </c>
      <c r="G104" s="292" t="n">
        <f aca="false">IF($F$2="YES", F104, E104)</f>
        <v>6.15384615384615</v>
      </c>
      <c r="H104" s="290" t="n">
        <f aca="false">G104-C104</f>
        <v>6.15384615384615</v>
      </c>
      <c r="I104" s="293" t="n">
        <f aca="false">(COUTMAX/1000000)*(B104-B103)/H104</f>
        <v>0.000312499999999997</v>
      </c>
      <c r="J104" s="294" t="n">
        <f aca="false">J103+I104</f>
        <v>0.029375</v>
      </c>
      <c r="K104" s="287" t="n">
        <f aca="false">J104*1000</f>
        <v>29.375</v>
      </c>
      <c r="L104" s="282" t="n">
        <f aca="false">H104/G104</f>
        <v>1</v>
      </c>
      <c r="M104" s="279" t="n">
        <f aca="false">1/COUTMAX*(E104/2-C104)*1000</f>
        <v>10.8333333333333</v>
      </c>
      <c r="N104" s="279" t="n">
        <f aca="false">I104*G104*(A104-B104)</f>
        <v>0.00924556213017743</v>
      </c>
      <c r="O104" s="279" t="n">
        <f aca="false">G104*(A104-B104)</f>
        <v>29.585798816568</v>
      </c>
      <c r="P104" s="279" t="n">
        <f aca="false">(A104-B104)*(I_Cout_ss*$Q$2+C104)</f>
        <v>59.1715976331361</v>
      </c>
      <c r="Q104" s="279" t="n">
        <f aca="false">(A104-B104)*(I_Cout_ss*$R$2+C104)</f>
        <v>11.094674556213</v>
      </c>
    </row>
    <row r="105" customFormat="false" ht="13.2" hidden="false" customHeight="false" outlineLevel="0" collapsed="false">
      <c r="A105" s="279" t="n">
        <f aca="false">VINMAX</f>
        <v>50</v>
      </c>
      <c r="B105" s="289" t="n">
        <f aca="false">VINMAX*((ROW()-10)/104)</f>
        <v>45.6730769230769</v>
      </c>
      <c r="C105" s="290" t="n">
        <f aca="false">IF(B105&gt;=$H$2,IF($D$2="CC", $G$2, B105/$G$2), 0)</f>
        <v>0</v>
      </c>
      <c r="D105" s="291" t="n">
        <f aca="false">B2</f>
        <v>703.333333333333</v>
      </c>
      <c r="E105" s="292" t="n">
        <f aca="false">MIN(D105/(A105-B105),$C$2)</f>
        <v>86.6666666666667</v>
      </c>
      <c r="F105" s="290" t="n">
        <f aca="false">I_Cout_ss+C105</f>
        <v>6.15384615384615</v>
      </c>
      <c r="G105" s="292" t="n">
        <f aca="false">IF($F$2="YES", F105, E105)</f>
        <v>6.15384615384615</v>
      </c>
      <c r="H105" s="290" t="n">
        <f aca="false">G105-C105</f>
        <v>6.15384615384615</v>
      </c>
      <c r="I105" s="293" t="n">
        <f aca="false">(COUTMAX/1000000)*(B105-B104)/H105</f>
        <v>0.000312499999999997</v>
      </c>
      <c r="J105" s="294" t="n">
        <f aca="false">J104+I105</f>
        <v>0.0296875</v>
      </c>
      <c r="K105" s="287" t="n">
        <f aca="false">J105*1000</f>
        <v>29.6875</v>
      </c>
      <c r="L105" s="282" t="n">
        <f aca="false">H105/G105</f>
        <v>1</v>
      </c>
      <c r="M105" s="279" t="n">
        <f aca="false">1/COUTMAX*(E105/2-C105)*1000</f>
        <v>10.8333333333333</v>
      </c>
      <c r="N105" s="279" t="n">
        <f aca="false">I105*G105*(A105-B105)</f>
        <v>0.0083210059171597</v>
      </c>
      <c r="O105" s="279" t="n">
        <f aca="false">G105*(A105-B105)</f>
        <v>26.6272189349113</v>
      </c>
      <c r="P105" s="279" t="n">
        <f aca="false">(A105-B105)*(I_Cout_ss*$Q$2+C105)</f>
        <v>53.2544378698225</v>
      </c>
      <c r="Q105" s="279" t="n">
        <f aca="false">(A105-B105)*(I_Cout_ss*$R$2+C105)</f>
        <v>9.98520710059172</v>
      </c>
    </row>
    <row r="106" customFormat="false" ht="13.2" hidden="false" customHeight="false" outlineLevel="0" collapsed="false">
      <c r="A106" s="279" t="n">
        <f aca="false">VINMAX</f>
        <v>50</v>
      </c>
      <c r="B106" s="289" t="n">
        <f aca="false">VINMAX*((ROW()-10)/104)</f>
        <v>46.1538461538462</v>
      </c>
      <c r="C106" s="290" t="n">
        <f aca="false">IF(B106&gt;=$H$2,IF($D$2="CC", $G$2, B106/$G$2), 0)</f>
        <v>0</v>
      </c>
      <c r="D106" s="291" t="n">
        <f aca="false">B2</f>
        <v>703.333333333333</v>
      </c>
      <c r="E106" s="292" t="n">
        <f aca="false">MIN(D106/(A106-B106),$C$2)</f>
        <v>86.6666666666667</v>
      </c>
      <c r="F106" s="290" t="n">
        <f aca="false">I_Cout_ss+C106</f>
        <v>6.15384615384615</v>
      </c>
      <c r="G106" s="292" t="n">
        <f aca="false">IF($F$2="YES", F106, E106)</f>
        <v>6.15384615384615</v>
      </c>
      <c r="H106" s="290" t="n">
        <f aca="false">G106-C106</f>
        <v>6.15384615384615</v>
      </c>
      <c r="I106" s="293" t="n">
        <f aca="false">(COUTMAX/1000000)*(B106-B105)/H106</f>
        <v>0.000312500000000002</v>
      </c>
      <c r="J106" s="294" t="n">
        <f aca="false">J105+I106</f>
        <v>0.03</v>
      </c>
      <c r="K106" s="287" t="n">
        <f aca="false">J106*1000</f>
        <v>30</v>
      </c>
      <c r="L106" s="282" t="n">
        <f aca="false">H106/G106</f>
        <v>1</v>
      </c>
      <c r="M106" s="279" t="n">
        <f aca="false">1/COUTMAX*(E106/2-C106)*1000</f>
        <v>10.8333333333333</v>
      </c>
      <c r="N106" s="279" t="n">
        <f aca="false">I106*G106*(A106-B106)</f>
        <v>0.00739644970414205</v>
      </c>
      <c r="O106" s="279" t="n">
        <f aca="false">G106*(A106-B106)</f>
        <v>23.6686390532544</v>
      </c>
      <c r="P106" s="279" t="n">
        <f aca="false">(A106-B106)*(I_Cout_ss*$Q$2+C106)</f>
        <v>47.3372781065089</v>
      </c>
      <c r="Q106" s="279" t="n">
        <f aca="false">(A106-B106)*(I_Cout_ss*$R$2+C106)</f>
        <v>8.87573964497042</v>
      </c>
    </row>
    <row r="107" customFormat="false" ht="13.2" hidden="false" customHeight="false" outlineLevel="0" collapsed="false">
      <c r="A107" s="279" t="n">
        <f aca="false">VINMAX</f>
        <v>50</v>
      </c>
      <c r="B107" s="289" t="n">
        <f aca="false">VINMAX*((ROW()-10)/104)</f>
        <v>46.6346153846154</v>
      </c>
      <c r="C107" s="290" t="n">
        <f aca="false">IF(B107&gt;=$H$2,IF($D$2="CC", $G$2, B107/$G$2), 0)</f>
        <v>0</v>
      </c>
      <c r="D107" s="291" t="n">
        <f aca="false">B2</f>
        <v>703.333333333333</v>
      </c>
      <c r="E107" s="292" t="n">
        <f aca="false">MIN(D107/(A107-B107),$C$2)</f>
        <v>86.6666666666667</v>
      </c>
      <c r="F107" s="290" t="n">
        <f aca="false">I_Cout_ss+C107</f>
        <v>6.15384615384615</v>
      </c>
      <c r="G107" s="292" t="n">
        <f aca="false">IF($F$2="YES", F107, E107)</f>
        <v>6.15384615384615</v>
      </c>
      <c r="H107" s="290" t="n">
        <f aca="false">G107-C107</f>
        <v>6.15384615384615</v>
      </c>
      <c r="I107" s="293" t="n">
        <f aca="false">(COUTMAX/1000000)*(B107-B106)/H107</f>
        <v>0.000312500000000002</v>
      </c>
      <c r="J107" s="294" t="n">
        <f aca="false">J106+I107</f>
        <v>0.0303125</v>
      </c>
      <c r="K107" s="287" t="n">
        <f aca="false">J107*1000</f>
        <v>30.3125</v>
      </c>
      <c r="L107" s="282" t="n">
        <f aca="false">H107/G107</f>
        <v>1</v>
      </c>
      <c r="M107" s="279" t="n">
        <f aca="false">1/COUTMAX*(E107/2-C107)*1000</f>
        <v>10.8333333333333</v>
      </c>
      <c r="N107" s="279" t="n">
        <f aca="false">I107*G107*(A107-B107)</f>
        <v>0.00647189349112429</v>
      </c>
      <c r="O107" s="279" t="n">
        <f aca="false">G107*(A107-B107)</f>
        <v>20.7100591715976</v>
      </c>
      <c r="P107" s="279" t="n">
        <f aca="false">(A107-B107)*(I_Cout_ss*$Q$2+C107)</f>
        <v>41.4201183431952</v>
      </c>
      <c r="Q107" s="279" t="n">
        <f aca="false">(A107-B107)*(I_Cout_ss*$R$2+C107)</f>
        <v>7.76627218934911</v>
      </c>
    </row>
    <row r="108" customFormat="false" ht="13.2" hidden="false" customHeight="false" outlineLevel="0" collapsed="false">
      <c r="A108" s="279" t="n">
        <f aca="false">VINMAX</f>
        <v>50</v>
      </c>
      <c r="B108" s="289" t="n">
        <f aca="false">VINMAX*((ROW()-10)/104)</f>
        <v>47.1153846153846</v>
      </c>
      <c r="C108" s="290" t="n">
        <f aca="false">IF(B108&gt;=$H$2,IF($D$2="CC", $G$2, B108/$G$2), 0)</f>
        <v>0</v>
      </c>
      <c r="D108" s="291" t="n">
        <f aca="false">B2</f>
        <v>703.333333333333</v>
      </c>
      <c r="E108" s="292" t="n">
        <f aca="false">MIN(D108/(A108-B108),$C$2)</f>
        <v>86.6666666666667</v>
      </c>
      <c r="F108" s="290" t="n">
        <f aca="false">I_Cout_ss+C108</f>
        <v>6.15384615384615</v>
      </c>
      <c r="G108" s="292" t="n">
        <f aca="false">IF($F$2="YES", F108, E108)</f>
        <v>6.15384615384615</v>
      </c>
      <c r="H108" s="290" t="n">
        <f aca="false">G108-C108</f>
        <v>6.15384615384615</v>
      </c>
      <c r="I108" s="293" t="n">
        <f aca="false">(COUTMAX/1000000)*(B108-B107)/H108</f>
        <v>0.000312499999999997</v>
      </c>
      <c r="J108" s="294" t="n">
        <f aca="false">J107+I108</f>
        <v>0.030625</v>
      </c>
      <c r="K108" s="287" t="n">
        <f aca="false">J108*1000</f>
        <v>30.625</v>
      </c>
      <c r="L108" s="282" t="n">
        <f aca="false">H108/G108</f>
        <v>1</v>
      </c>
      <c r="M108" s="279" t="n">
        <f aca="false">1/COUTMAX*(E108/2-C108)*1000</f>
        <v>10.8333333333333</v>
      </c>
      <c r="N108" s="279" t="n">
        <f aca="false">I108*G108*(A108-B108)</f>
        <v>0.00554733727810646</v>
      </c>
      <c r="O108" s="279" t="n">
        <f aca="false">G108*(A108-B108)</f>
        <v>17.7514792899408</v>
      </c>
      <c r="P108" s="279" t="n">
        <f aca="false">(A108-B108)*(I_Cout_ss*$Q$2+C108)</f>
        <v>35.5029585798817</v>
      </c>
      <c r="Q108" s="279" t="n">
        <f aca="false">(A108-B108)*(I_Cout_ss*$R$2+C108)</f>
        <v>6.65680473372782</v>
      </c>
    </row>
    <row r="109" customFormat="false" ht="13.2" hidden="false" customHeight="false" outlineLevel="0" collapsed="false">
      <c r="A109" s="279" t="n">
        <f aca="false">VINMAX</f>
        <v>50</v>
      </c>
      <c r="B109" s="289" t="n">
        <f aca="false">VINMAX*((ROW()-10)/104)</f>
        <v>47.5961538461539</v>
      </c>
      <c r="C109" s="290" t="n">
        <f aca="false">IF(B109&gt;=$H$2,IF($D$2="CC", $G$2, B109/$G$2), 0)</f>
        <v>0</v>
      </c>
      <c r="D109" s="291" t="n">
        <f aca="false">B2</f>
        <v>703.333333333333</v>
      </c>
      <c r="E109" s="292" t="n">
        <f aca="false">MIN(D109/(A109-B109),$C$2)</f>
        <v>86.6666666666667</v>
      </c>
      <c r="F109" s="290" t="n">
        <f aca="false">I_Cout_ss+C109</f>
        <v>6.15384615384615</v>
      </c>
      <c r="G109" s="292" t="n">
        <f aca="false">IF($F$2="YES", F109, E109)</f>
        <v>6.15384615384615</v>
      </c>
      <c r="H109" s="290" t="n">
        <f aca="false">G109-C109</f>
        <v>6.15384615384615</v>
      </c>
      <c r="I109" s="293" t="n">
        <f aca="false">(COUTMAX/1000000)*(B109-B108)/H109</f>
        <v>0.000312500000000002</v>
      </c>
      <c r="J109" s="294" t="n">
        <f aca="false">J108+I109</f>
        <v>0.0309375</v>
      </c>
      <c r="K109" s="287" t="n">
        <f aca="false">J109*1000</f>
        <v>30.9375</v>
      </c>
      <c r="L109" s="282" t="n">
        <f aca="false">H109/G109</f>
        <v>1</v>
      </c>
      <c r="M109" s="279" t="n">
        <f aca="false">1/COUTMAX*(E109/2-C109)*1000</f>
        <v>10.8333333333333</v>
      </c>
      <c r="N109" s="279" t="n">
        <f aca="false">I109*G109*(A109-B109)</f>
        <v>0.00462278106508878</v>
      </c>
      <c r="O109" s="279" t="n">
        <f aca="false">G109*(A109-B109)</f>
        <v>14.792899408284</v>
      </c>
      <c r="P109" s="279" t="n">
        <f aca="false">(A109-B109)*(I_Cout_ss*$Q$2+C109)</f>
        <v>29.585798816568</v>
      </c>
      <c r="Q109" s="279" t="n">
        <f aca="false">(A109-B109)*(I_Cout_ss*$R$2+C109)</f>
        <v>5.54733727810651</v>
      </c>
    </row>
    <row r="110" customFormat="false" ht="13.2" hidden="false" customHeight="false" outlineLevel="0" collapsed="false">
      <c r="A110" s="279" t="n">
        <f aca="false">VINMAX</f>
        <v>50</v>
      </c>
      <c r="B110" s="289" t="n">
        <f aca="false">VINMAX*((ROW()-10)/104)</f>
        <v>48.0769230769231</v>
      </c>
      <c r="C110" s="290" t="n">
        <f aca="false">IF(B110&gt;=$H$2,IF($D$2="CC", $G$2, B110/$G$2), 0)</f>
        <v>0</v>
      </c>
      <c r="D110" s="291" t="n">
        <f aca="false">B2</f>
        <v>703.333333333333</v>
      </c>
      <c r="E110" s="292" t="n">
        <f aca="false">MIN(D110/(A110-B110),$C$2)</f>
        <v>86.6666666666667</v>
      </c>
      <c r="F110" s="290" t="n">
        <f aca="false">I_Cout_ss+C110</f>
        <v>6.15384615384615</v>
      </c>
      <c r="G110" s="292" t="n">
        <f aca="false">IF($F$2="YES", F110, E110)</f>
        <v>6.15384615384615</v>
      </c>
      <c r="H110" s="290" t="n">
        <f aca="false">G110-C110</f>
        <v>6.15384615384615</v>
      </c>
      <c r="I110" s="293" t="n">
        <f aca="false">(COUTMAX/1000000)*(B110-B109)/H110</f>
        <v>0.000312500000000002</v>
      </c>
      <c r="J110" s="294" t="n">
        <f aca="false">J109+I110</f>
        <v>0.03125</v>
      </c>
      <c r="K110" s="287" t="n">
        <f aca="false">J110*1000</f>
        <v>31.25</v>
      </c>
      <c r="L110" s="282" t="n">
        <f aca="false">H110/G110</f>
        <v>1</v>
      </c>
      <c r="M110" s="279" t="n">
        <f aca="false">1/COUTMAX*(E110/2-C110)*1000</f>
        <v>10.8333333333333</v>
      </c>
      <c r="N110" s="279" t="n">
        <f aca="false">I110*G110*(A110-B110)</f>
        <v>0.00369822485207102</v>
      </c>
      <c r="O110" s="279" t="n">
        <f aca="false">G110*(A110-B110)</f>
        <v>11.8343195266272</v>
      </c>
      <c r="P110" s="279" t="n">
        <f aca="false">(A110-B110)*(I_Cout_ss*$Q$2+C110)</f>
        <v>23.6686390532544</v>
      </c>
      <c r="Q110" s="279" t="n">
        <f aca="false">(A110-B110)*(I_Cout_ss*$R$2+C110)</f>
        <v>4.4378698224852</v>
      </c>
    </row>
    <row r="111" customFormat="false" ht="13.2" hidden="false" customHeight="false" outlineLevel="0" collapsed="false">
      <c r="A111" s="279" t="n">
        <f aca="false">VINMAX</f>
        <v>50</v>
      </c>
      <c r="B111" s="289" t="n">
        <f aca="false">VINMAX*((ROW()-10)/104)</f>
        <v>48.5576923076923</v>
      </c>
      <c r="C111" s="290" t="n">
        <f aca="false">IF(B111&gt;=$H$2,IF($D$2="CC", $G$2, B111/$G$2), 0)</f>
        <v>0</v>
      </c>
      <c r="D111" s="291" t="n">
        <f aca="false">B2</f>
        <v>703.333333333333</v>
      </c>
      <c r="E111" s="292" t="n">
        <f aca="false">$C$2</f>
        <v>86.6666666666667</v>
      </c>
      <c r="F111" s="290" t="n">
        <f aca="false">I_Cout_ss+C111</f>
        <v>6.15384615384615</v>
      </c>
      <c r="G111" s="292" t="n">
        <f aca="false">IF($F$2="YES", F111, E111)</f>
        <v>6.15384615384615</v>
      </c>
      <c r="H111" s="290" t="n">
        <f aca="false">G111-C111</f>
        <v>6.15384615384615</v>
      </c>
      <c r="I111" s="293" t="n">
        <f aca="false">(COUTMAX/1000000)*(B111-B110)/H111</f>
        <v>0.000312499999999997</v>
      </c>
      <c r="J111" s="294" t="n">
        <f aca="false">J110+I111</f>
        <v>0.0315625</v>
      </c>
      <c r="K111" s="287" t="n">
        <f aca="false">J111*1000</f>
        <v>31.5625</v>
      </c>
      <c r="L111" s="282" t="n">
        <f aca="false">H111/G111</f>
        <v>1</v>
      </c>
      <c r="M111" s="279" t="n">
        <f aca="false">1/COUTMAX*(E111/2-C111)*1000</f>
        <v>10.8333333333333</v>
      </c>
      <c r="N111" s="279" t="n">
        <f aca="false">I111*G111*(A111-B111)</f>
        <v>0.00277366863905323</v>
      </c>
      <c r="O111" s="279" t="n">
        <f aca="false">G111*(A111-B111)</f>
        <v>8.87573964497042</v>
      </c>
      <c r="P111" s="279" t="n">
        <f aca="false">(A111-B111)*(I_Cout_ss*$Q$2+C111)</f>
        <v>17.7514792899408</v>
      </c>
      <c r="Q111" s="279" t="n">
        <f aca="false">(A111-B111)*(I_Cout_ss*$R$2+C111)</f>
        <v>3.32840236686391</v>
      </c>
    </row>
    <row r="112" customFormat="false" ht="13.2" hidden="false" customHeight="false" outlineLevel="0" collapsed="false">
      <c r="A112" s="279" t="n">
        <f aca="false">VINMAX</f>
        <v>50</v>
      </c>
      <c r="B112" s="289" t="n">
        <f aca="false">VINMAX*((ROW()-10)/104)</f>
        <v>49.0384615384615</v>
      </c>
      <c r="C112" s="290" t="n">
        <f aca="false">IF(B112&gt;=$H$2,IF($D$2="CC", $G$2, B112/$G$2), 0)</f>
        <v>0</v>
      </c>
      <c r="D112" s="291" t="n">
        <f aca="false">B2</f>
        <v>703.333333333333</v>
      </c>
      <c r="E112" s="292" t="n">
        <f aca="false">$C$2</f>
        <v>86.6666666666667</v>
      </c>
      <c r="F112" s="290" t="n">
        <f aca="false">I_Cout_ss+C112</f>
        <v>6.15384615384615</v>
      </c>
      <c r="G112" s="292" t="n">
        <f aca="false">IF($F$2="YES", F112, E112)</f>
        <v>6.15384615384615</v>
      </c>
      <c r="H112" s="290" t="n">
        <f aca="false">G112-C112</f>
        <v>6.15384615384615</v>
      </c>
      <c r="I112" s="293" t="n">
        <f aca="false">(COUTMAX/1000000)*(B112-B111)/H112</f>
        <v>0.000312499999999997</v>
      </c>
      <c r="J112" s="294" t="n">
        <f aca="false">J111+I112</f>
        <v>0.031875</v>
      </c>
      <c r="K112" s="287" t="n">
        <f aca="false">J112*1000</f>
        <v>31.875</v>
      </c>
      <c r="L112" s="282" t="n">
        <f aca="false">H112/G112</f>
        <v>1</v>
      </c>
      <c r="M112" s="279" t="n">
        <f aca="false">1/COUTMAX*(E112/2-C112)*1000</f>
        <v>10.8333333333333</v>
      </c>
      <c r="N112" s="279" t="n">
        <f aca="false">I112*G112*(A112-B112)</f>
        <v>0.0018491124260355</v>
      </c>
      <c r="O112" s="279" t="n">
        <f aca="false">G112*(A112-B112)</f>
        <v>5.91715976331364</v>
      </c>
      <c r="P112" s="279" t="n">
        <f aca="false">(A112-B112)*(I_Cout_ss*$Q$2+C112)</f>
        <v>11.8343195266273</v>
      </c>
      <c r="Q112" s="279" t="n">
        <f aca="false">(A112-B112)*(I_Cout_ss*$R$2+C112)</f>
        <v>2.21893491124262</v>
      </c>
    </row>
    <row r="113" customFormat="false" ht="13.2" hidden="false" customHeight="false" outlineLevel="0" collapsed="false">
      <c r="A113" s="279" t="n">
        <f aca="false">VINMAX</f>
        <v>50</v>
      </c>
      <c r="B113" s="289" t="n">
        <f aca="false">VINMAX*((ROW()-10)/104)</f>
        <v>49.5192307692308</v>
      </c>
      <c r="C113" s="290" t="n">
        <f aca="false">IF(B113&gt;=$H$2,IF($D$2="CC", $G$2, B113/$G$2), 0)</f>
        <v>0</v>
      </c>
      <c r="D113" s="291" t="n">
        <f aca="false">B2</f>
        <v>703.333333333333</v>
      </c>
      <c r="E113" s="292" t="n">
        <f aca="false">$C$2</f>
        <v>86.6666666666667</v>
      </c>
      <c r="F113" s="290" t="n">
        <f aca="false">I_Cout_ss+C113</f>
        <v>6.15384615384615</v>
      </c>
      <c r="G113" s="292" t="n">
        <f aca="false">IF($F$2="YES", F113, E113)</f>
        <v>6.15384615384615</v>
      </c>
      <c r="H113" s="290" t="n">
        <f aca="false">G113-C113</f>
        <v>6.15384615384615</v>
      </c>
      <c r="I113" s="293" t="n">
        <f aca="false">(COUTMAX/1000000)*(B113-B112)/H113</f>
        <v>0.000312500000000006</v>
      </c>
      <c r="J113" s="294" t="n">
        <f aca="false">J112+I113</f>
        <v>0.0321875</v>
      </c>
      <c r="K113" s="287" t="n">
        <f aca="false">J113*1000</f>
        <v>32.1875</v>
      </c>
      <c r="L113" s="282" t="n">
        <f aca="false">H113/G113</f>
        <v>1</v>
      </c>
      <c r="M113" s="279" t="n">
        <f aca="false">1/COUTMAX*(E113/2-C113)*1000</f>
        <v>10.8333333333333</v>
      </c>
      <c r="N113" s="279" t="n">
        <f aca="false">I113*G113*(A113-B113)</f>
        <v>0.000924556213017762</v>
      </c>
      <c r="O113" s="279" t="n">
        <f aca="false">G113*(A113-B113)</f>
        <v>2.95857988165678</v>
      </c>
      <c r="P113" s="279" t="n">
        <f aca="false">(A113-B113)*(I_Cout_ss*$Q$2+C113)</f>
        <v>5.91715976331356</v>
      </c>
      <c r="Q113" s="279" t="n">
        <f aca="false">(A113-B113)*(I_Cout_ss*$R$2+C113)</f>
        <v>1.10946745562129</v>
      </c>
    </row>
    <row r="114" customFormat="false" ht="13.2" hidden="false" customHeight="false" outlineLevel="0" collapsed="false">
      <c r="A114" s="279" t="n">
        <f aca="false">VINMAX</f>
        <v>50</v>
      </c>
      <c r="B114" s="289" t="n">
        <f aca="false">VINMAX*((ROW()-10)/104)</f>
        <v>50</v>
      </c>
      <c r="C114" s="290" t="n">
        <f aca="false">IF(B114&gt;=$H$2,IF($D$2="CC", $G$2, B114/$G$2), 0)</f>
        <v>0</v>
      </c>
      <c r="D114" s="291" t="n">
        <f aca="false">B2</f>
        <v>703.333333333333</v>
      </c>
      <c r="E114" s="292" t="n">
        <f aca="false">$C$2</f>
        <v>86.6666666666667</v>
      </c>
      <c r="F114" s="290" t="n">
        <f aca="false">I_Cout_ss+C114</f>
        <v>6.15384615384615</v>
      </c>
      <c r="G114" s="292" t="n">
        <f aca="false">IF($F$2="YES", F114, E114)</f>
        <v>6.15384615384615</v>
      </c>
      <c r="H114" s="290" t="n">
        <f aca="false">G114-C114</f>
        <v>6.15384615384615</v>
      </c>
      <c r="I114" s="293" t="n">
        <f aca="false">(COUTMAX/1000000)*(B114-B113)/H114</f>
        <v>0.000312499999999997</v>
      </c>
      <c r="J114" s="294" t="n">
        <f aca="false">J113+I114</f>
        <v>0.0325</v>
      </c>
      <c r="K114" s="287" t="n">
        <f aca="false">J114*1000</f>
        <v>32.5</v>
      </c>
      <c r="L114" s="282" t="n">
        <f aca="false">H114/G114</f>
        <v>1</v>
      </c>
      <c r="M114" s="279" t="n">
        <f aca="false">1/COUTMAX*(E114/2-C114)*1000</f>
        <v>10.8333333333333</v>
      </c>
      <c r="N114" s="279" t="n">
        <f aca="false">I114*G114*(A114-B114)</f>
        <v>0</v>
      </c>
      <c r="O114" s="279" t="n">
        <f aca="false">G114*(A114-B114)</f>
        <v>0</v>
      </c>
      <c r="P114" s="279" t="n">
        <f aca="false">(A114-B114)*(I_Cout_ss*$Q$2+C114)</f>
        <v>0</v>
      </c>
      <c r="Q114" s="279" t="n">
        <f aca="false">(A114-B114)*(I_Cout_ss*$R$2+C114)</f>
        <v>0</v>
      </c>
    </row>
    <row r="115" customFormat="false" ht="13.2" hidden="false" customHeight="false" outlineLevel="0" collapsed="false">
      <c r="K115" s="298" t="n">
        <f aca="false">K114+0.5</f>
        <v>33</v>
      </c>
      <c r="N115" s="279" t="n">
        <v>0</v>
      </c>
      <c r="O115" s="279" t="n">
        <v>0</v>
      </c>
    </row>
  </sheetData>
  <mergeCells count="1">
    <mergeCell ref="X12:Y1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sheetPr filterMode="false">
    <pageSetUpPr fitToPage="false"/>
  </sheetPr>
  <dimension ref="A1:V3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22" activeCellId="0" sqref="H22"/>
    </sheetView>
  </sheetViews>
  <sheetFormatPr defaultRowHeight="13.2" zeroHeight="false" outlineLevelRow="0" outlineLevelCol="0"/>
  <cols>
    <col collapsed="false" customWidth="true" hidden="false" outlineLevel="0" max="1" min="1" style="0" width="19.77"/>
    <col collapsed="false" customWidth="true" hidden="false" outlineLevel="0" max="2" min="2" style="0" width="17.21"/>
    <col collapsed="false" customWidth="true" hidden="false" outlineLevel="0" max="3" min="3" style="0" width="13.22"/>
    <col collapsed="false" customWidth="true" hidden="false" outlineLevel="0" max="4" min="4" style="0" width="16"/>
    <col collapsed="false" customWidth="true" hidden="false" outlineLevel="0" max="6" min="5" style="0" width="17.78"/>
    <col collapsed="false" customWidth="true" hidden="false" outlineLevel="0" max="7" min="7" style="0" width="31.55"/>
    <col collapsed="false" customWidth="true" hidden="false" outlineLevel="0" max="8" min="8" style="0" width="19.99"/>
    <col collapsed="false" customWidth="true" hidden="false" outlineLevel="0" max="12" min="9" style="0" width="8.67"/>
    <col collapsed="false" customWidth="true" hidden="false" outlineLevel="0" max="13" min="13" style="0" width="12.78"/>
    <col collapsed="false" customWidth="true" hidden="false" outlineLevel="0" max="14" min="14" style="0" width="8.67"/>
    <col collapsed="false" customWidth="true" hidden="false" outlineLevel="0" max="15" min="15" style="0" width="17.21"/>
    <col collapsed="false" customWidth="true" hidden="false" outlineLevel="0" max="16" min="16" style="0" width="8.67"/>
    <col collapsed="false" customWidth="true" hidden="false" outlineLevel="0" max="17" min="17" style="0" width="13.22"/>
    <col collapsed="false" customWidth="true" hidden="false" outlineLevel="0" max="18" min="18" style="0" width="16.78"/>
    <col collapsed="false" customWidth="true" hidden="false" outlineLevel="0" max="19" min="19" style="0" width="8.67"/>
    <col collapsed="false" customWidth="true" hidden="false" outlineLevel="0" max="20" min="20" style="0" width="13.01"/>
    <col collapsed="false" customWidth="true" hidden="false" outlineLevel="0" max="21" min="21" style="0" width="10.22"/>
    <col collapsed="false" customWidth="true" hidden="false" outlineLevel="0" max="1025" min="22" style="0" width="8.67"/>
  </cols>
  <sheetData>
    <row r="1" customFormat="false" ht="13.2" hidden="false" customHeight="false" outlineLevel="0" collapsed="false">
      <c r="C1" s="122"/>
      <c r="D1" s="122"/>
      <c r="E1" s="122"/>
      <c r="F1" s="122"/>
      <c r="G1" s="122"/>
    </row>
    <row r="2" customFormat="false" ht="13.2" hidden="false" customHeight="false" outlineLevel="0" collapsed="false">
      <c r="A2" s="299"/>
      <c r="B2" s="300"/>
      <c r="C2" s="269" t="s">
        <v>444</v>
      </c>
      <c r="D2" s="269"/>
      <c r="E2" s="269"/>
      <c r="F2" s="277"/>
      <c r="G2" s="277"/>
      <c r="H2" s="53" t="s">
        <v>445</v>
      </c>
      <c r="I2" s="122"/>
      <c r="J2" s="122"/>
      <c r="K2" s="122"/>
      <c r="L2" s="122"/>
      <c r="M2" s="122"/>
      <c r="N2" s="122"/>
      <c r="O2" s="301"/>
      <c r="P2" s="301"/>
      <c r="Q2" s="301"/>
      <c r="R2" s="301"/>
      <c r="S2" s="301"/>
      <c r="T2" s="301"/>
      <c r="U2" s="122"/>
      <c r="V2" s="122"/>
    </row>
    <row r="3" customFormat="false" ht="13.2" hidden="false" customHeight="false" outlineLevel="0" collapsed="false">
      <c r="A3" s="299"/>
      <c r="B3" s="302" t="s">
        <v>446</v>
      </c>
      <c r="C3" s="302" t="s">
        <v>447</v>
      </c>
      <c r="D3" s="302" t="s">
        <v>448</v>
      </c>
      <c r="E3" s="302" t="s">
        <v>449</v>
      </c>
      <c r="F3" s="303" t="s">
        <v>450</v>
      </c>
      <c r="G3" s="304"/>
      <c r="H3" s="53" t="s">
        <v>451</v>
      </c>
      <c r="I3" s="277"/>
      <c r="J3" s="277"/>
      <c r="K3" s="277"/>
      <c r="L3" s="277"/>
      <c r="M3" s="277"/>
      <c r="N3" s="122"/>
      <c r="O3" s="277"/>
      <c r="P3" s="277"/>
      <c r="Q3" s="278"/>
      <c r="R3" s="278"/>
      <c r="S3" s="278"/>
      <c r="T3" s="278"/>
      <c r="U3" s="122"/>
      <c r="V3" s="122"/>
    </row>
    <row r="4" customFormat="false" ht="21.6" hidden="false" customHeight="true" outlineLevel="0" collapsed="false">
      <c r="A4" s="302" t="s">
        <v>452</v>
      </c>
      <c r="B4" s="299" t="n">
        <f aca="false">'Design Calculator'!AN58</f>
        <v>300</v>
      </c>
      <c r="C4" s="305" t="n">
        <f aca="false">'Design Calculator'!$AN$59</f>
        <v>81</v>
      </c>
      <c r="D4" s="305" t="n">
        <f aca="false">'Design Calculator'!$AN$60</f>
        <v>18</v>
      </c>
      <c r="E4" s="305" t="n">
        <f aca="false">IF('Design Calculator'!$AN$61 = "NA", F4, 'Design Calculator'!$AN$61)</f>
        <v>6.3</v>
      </c>
      <c r="F4" s="305" t="n">
        <f aca="false">'Design Calculator'!AN62</f>
        <v>4.5</v>
      </c>
      <c r="G4" s="306"/>
      <c r="H4" s="53" t="s">
        <v>453</v>
      </c>
      <c r="I4" s="277"/>
      <c r="J4" s="277"/>
      <c r="K4" s="277"/>
      <c r="L4" s="278"/>
      <c r="M4" s="278"/>
      <c r="N4" s="122"/>
      <c r="O4" s="277"/>
      <c r="P4" s="277"/>
      <c r="Q4" s="278"/>
      <c r="R4" s="278"/>
      <c r="S4" s="278"/>
      <c r="T4" s="278"/>
      <c r="U4" s="122"/>
      <c r="V4" s="122"/>
    </row>
    <row r="5" customFormat="false" ht="13.2" hidden="false" customHeight="false" outlineLevel="0" collapsed="false">
      <c r="A5" s="122"/>
      <c r="C5" s="277"/>
      <c r="D5" s="278"/>
      <c r="E5" s="278"/>
      <c r="F5" s="278"/>
      <c r="G5" s="278"/>
      <c r="H5" s="122"/>
      <c r="I5" s="277"/>
      <c r="J5" s="277"/>
      <c r="K5" s="277"/>
      <c r="L5" s="278"/>
      <c r="M5" s="278"/>
      <c r="N5" s="307"/>
      <c r="O5" s="307"/>
      <c r="P5" s="307"/>
      <c r="Q5" s="278"/>
      <c r="R5" s="308"/>
      <c r="S5" s="308"/>
      <c r="T5" s="308"/>
      <c r="U5" s="122"/>
      <c r="V5" s="122"/>
    </row>
    <row r="6" customFormat="false" ht="13.2" hidden="false" customHeight="false" outlineLevel="0" collapsed="false">
      <c r="A6" s="122"/>
      <c r="C6" s="277"/>
      <c r="D6" s="278"/>
      <c r="E6" s="278"/>
      <c r="F6" s="278"/>
      <c r="G6" s="278"/>
      <c r="H6" s="122"/>
      <c r="I6" s="277"/>
      <c r="J6" s="277"/>
      <c r="K6" s="277"/>
      <c r="L6" s="278"/>
      <c r="M6" s="278"/>
      <c r="N6" s="122"/>
      <c r="O6" s="304"/>
      <c r="P6" s="122"/>
      <c r="Q6" s="122"/>
      <c r="R6" s="122"/>
      <c r="S6" s="122"/>
      <c r="T6" s="122"/>
      <c r="U6" s="122"/>
      <c r="V6" s="122"/>
    </row>
    <row r="7" customFormat="false" ht="14.4" hidden="false" customHeight="false" outlineLevel="0" collapsed="false">
      <c r="A7" s="122"/>
      <c r="B7" s="309" t="s">
        <v>454</v>
      </c>
      <c r="G7" s="310" t="s">
        <v>455</v>
      </c>
      <c r="H7" s="122"/>
      <c r="J7" s="307"/>
      <c r="K7" s="278"/>
      <c r="L7" s="122"/>
      <c r="M7" s="122"/>
      <c r="N7" s="304"/>
      <c r="O7" s="304"/>
      <c r="P7" s="304"/>
      <c r="Q7" s="122"/>
      <c r="R7" s="122"/>
      <c r="S7" s="122"/>
      <c r="T7" s="311"/>
      <c r="U7" s="277"/>
      <c r="V7" s="122"/>
    </row>
    <row r="8" customFormat="false" ht="14.4" hidden="false" customHeight="false" outlineLevel="0" collapsed="false">
      <c r="A8" s="122"/>
      <c r="B8" s="53" t="s">
        <v>456</v>
      </c>
      <c r="C8" s="0" t="n">
        <f aca="false">IF('Design Calculator'!F73="No", 'Design Calculator'!$F$79,'Design Calculator'!F92)</f>
        <v>0.52</v>
      </c>
      <c r="D8" s="53" t="s">
        <v>108</v>
      </c>
      <c r="G8" s="53" t="s">
        <v>456</v>
      </c>
      <c r="H8" s="0" t="n">
        <f aca="false">Equations!F60</f>
        <v>16.09375</v>
      </c>
      <c r="J8" s="312"/>
      <c r="K8" s="278"/>
      <c r="L8" s="122"/>
      <c r="M8" s="122"/>
      <c r="N8" s="304"/>
      <c r="O8" s="122"/>
      <c r="P8" s="311"/>
      <c r="Q8" s="122"/>
      <c r="R8" s="122"/>
      <c r="S8" s="122"/>
      <c r="T8" s="311"/>
      <c r="U8" s="277"/>
      <c r="V8" s="122"/>
    </row>
    <row r="9" customFormat="false" ht="14.4" hidden="false" customHeight="false" outlineLevel="0" collapsed="false">
      <c r="A9" s="122"/>
      <c r="B9" s="53" t="s">
        <v>457</v>
      </c>
      <c r="C9" s="0" t="n">
        <f aca="false">VINMAX</f>
        <v>50</v>
      </c>
      <c r="D9" s="0" t="s">
        <v>40</v>
      </c>
      <c r="G9" s="53" t="s">
        <v>457</v>
      </c>
      <c r="H9" s="0" t="n">
        <f aca="false">VINMAX</f>
        <v>50</v>
      </c>
      <c r="K9" s="278"/>
      <c r="L9" s="122"/>
      <c r="M9" s="122"/>
      <c r="N9" s="304"/>
      <c r="O9" s="122"/>
      <c r="P9" s="311"/>
      <c r="Q9" s="122"/>
      <c r="R9" s="122"/>
      <c r="S9" s="122"/>
      <c r="T9" s="311"/>
      <c r="U9" s="122"/>
      <c r="V9" s="122"/>
    </row>
    <row r="10" customFormat="false" ht="14.4" hidden="false" customHeight="false" outlineLevel="0" collapsed="false">
      <c r="A10" s="122"/>
      <c r="B10" s="53" t="s">
        <v>458</v>
      </c>
      <c r="C10" s="0" t="n">
        <f aca="false">IF(C8&lt;10, IF(C8&lt;1, 0.1, 1), IF(C8&lt;100, 10, 100))</f>
        <v>0.1</v>
      </c>
      <c r="D10" s="53" t="s">
        <v>108</v>
      </c>
      <c r="G10" s="53" t="s">
        <v>458</v>
      </c>
      <c r="H10" s="0" t="n">
        <f aca="false">IF(H8&lt;10, IF(H8&lt;1, 0.1, 1), IF(H8&lt;100, 10, 100))</f>
        <v>10</v>
      </c>
      <c r="K10" s="278"/>
      <c r="L10" s="122"/>
      <c r="M10" s="122"/>
      <c r="N10" s="304"/>
      <c r="O10" s="122"/>
      <c r="P10" s="311"/>
      <c r="Q10" s="122"/>
      <c r="R10" s="122"/>
      <c r="S10" s="122"/>
      <c r="T10" s="311"/>
      <c r="U10" s="122"/>
      <c r="V10" s="122"/>
    </row>
    <row r="11" customFormat="false" ht="14.4" hidden="false" customHeight="false" outlineLevel="0" collapsed="false">
      <c r="A11" s="122"/>
      <c r="B11" s="53" t="s">
        <v>459</v>
      </c>
      <c r="C11" s="0" t="n">
        <f aca="false">IF('Design Calculator'!F61="NA", MIN(SOA!C10,1),SOA!C10)</f>
        <v>0.1</v>
      </c>
      <c r="D11" s="53"/>
      <c r="G11" s="53" t="s">
        <v>459</v>
      </c>
      <c r="H11" s="0" t="n">
        <f aca="false">IF('Design Calculator'!F61="NA", MIN(SOA!H10,1),SOA!H10)</f>
        <v>10</v>
      </c>
      <c r="K11" s="278"/>
      <c r="L11" s="122"/>
      <c r="M11" s="122"/>
      <c r="N11" s="122"/>
      <c r="O11" s="122"/>
      <c r="P11" s="311"/>
      <c r="Q11" s="122"/>
      <c r="R11" s="122"/>
      <c r="S11" s="122"/>
      <c r="T11" s="122"/>
      <c r="U11" s="122"/>
      <c r="V11" s="122"/>
    </row>
    <row r="12" customFormat="false" ht="13.2" hidden="false" customHeight="false" outlineLevel="0" collapsed="false">
      <c r="A12" s="122"/>
      <c r="B12" s="53" t="s">
        <v>460</v>
      </c>
      <c r="C12" s="0" t="n">
        <f aca="false">C10*10</f>
        <v>1</v>
      </c>
      <c r="D12" s="53" t="s">
        <v>108</v>
      </c>
      <c r="G12" s="53" t="s">
        <v>461</v>
      </c>
      <c r="H12" s="0" t="n">
        <f aca="false">H10*10</f>
        <v>100</v>
      </c>
      <c r="K12" s="278"/>
      <c r="L12" s="122"/>
      <c r="M12" s="122"/>
      <c r="N12" s="122"/>
      <c r="O12" s="122"/>
      <c r="P12" s="122"/>
      <c r="Q12" s="122"/>
      <c r="R12" s="122"/>
      <c r="S12" s="122"/>
      <c r="T12" s="122"/>
      <c r="U12" s="122"/>
      <c r="V12" s="122"/>
    </row>
    <row r="13" customFormat="false" ht="13.2" hidden="false" customHeight="false" outlineLevel="0" collapsed="false">
      <c r="A13" s="122"/>
      <c r="B13" s="53" t="s">
        <v>462</v>
      </c>
      <c r="C13" s="0" t="n">
        <f aca="false">IF('Design Calculator'!F62="NA", MIN(SOA!C12,10),SOA!C12)</f>
        <v>1</v>
      </c>
      <c r="D13" s="53"/>
      <c r="G13" s="53" t="s">
        <v>462</v>
      </c>
      <c r="H13" s="0" t="n">
        <f aca="false">IF('Design Calculator'!F62="NA", MIN(SOA!H12,10),SOA!H12)</f>
        <v>100</v>
      </c>
      <c r="K13" s="278"/>
      <c r="L13" s="122"/>
      <c r="M13" s="122"/>
      <c r="N13" s="122"/>
      <c r="O13" s="122"/>
      <c r="P13" s="122"/>
      <c r="Q13" s="122"/>
      <c r="R13" s="122"/>
      <c r="S13" s="122"/>
      <c r="T13" s="122"/>
      <c r="U13" s="122"/>
      <c r="V13" s="122"/>
    </row>
    <row r="14" customFormat="false" ht="13.2" hidden="false" customHeight="false" outlineLevel="0" collapsed="false">
      <c r="A14" s="122"/>
      <c r="B14" s="53" t="s">
        <v>463</v>
      </c>
      <c r="C14" s="0" t="n">
        <f aca="false">IF(C10=0.1, B4, IF(C10=1, C4, IF(C10=10, D4, E4)))</f>
        <v>300</v>
      </c>
      <c r="D14" s="53" t="s">
        <v>44</v>
      </c>
      <c r="G14" s="53" t="s">
        <v>463</v>
      </c>
      <c r="H14" s="0" t="n">
        <f aca="false">IF(H11=0.1, B4, IF(H11=1, C4, IF(H11=10, D4, E4)))</f>
        <v>18</v>
      </c>
      <c r="K14" s="278"/>
      <c r="L14" s="122"/>
      <c r="M14" s="122"/>
      <c r="N14" s="122"/>
      <c r="O14" s="122"/>
      <c r="P14" s="122"/>
      <c r="Q14" s="122"/>
      <c r="R14" s="122"/>
      <c r="S14" s="122"/>
      <c r="T14" s="122"/>
      <c r="U14" s="122"/>
      <c r="V14" s="122"/>
    </row>
    <row r="15" customFormat="false" ht="13.2" hidden="false" customHeight="false" outlineLevel="0" collapsed="false">
      <c r="A15" s="122"/>
      <c r="B15" s="53" t="s">
        <v>464</v>
      </c>
      <c r="C15" s="0" t="n">
        <f aca="false">IF(C12=1000, F4, IF(C12=1, C4, IF(C12=10, D4, E4)))</f>
        <v>81</v>
      </c>
      <c r="D15" s="53" t="s">
        <v>44</v>
      </c>
      <c r="G15" s="53" t="s">
        <v>464</v>
      </c>
      <c r="H15" s="0" t="n">
        <f aca="false">IF(H13=1000, F4, IF(H13=1, C4, IF(H13=10, D4, E4)))</f>
        <v>6.3</v>
      </c>
      <c r="K15" s="278"/>
      <c r="L15" s="122"/>
      <c r="M15" s="122"/>
      <c r="N15" s="122"/>
      <c r="O15" s="122"/>
      <c r="P15" s="122"/>
      <c r="Q15" s="122"/>
      <c r="R15" s="122"/>
      <c r="S15" s="122"/>
      <c r="T15" s="122"/>
      <c r="U15" s="122"/>
      <c r="V15" s="122"/>
    </row>
    <row r="16" customFormat="false" ht="13.2" hidden="false" customHeight="false" outlineLevel="0" collapsed="false">
      <c r="A16" s="122"/>
      <c r="K16" s="278"/>
      <c r="L16" s="122"/>
      <c r="M16" s="122"/>
      <c r="N16" s="122"/>
      <c r="O16" s="122"/>
      <c r="P16" s="122"/>
      <c r="Q16" s="122"/>
      <c r="R16" s="122"/>
      <c r="S16" s="122"/>
      <c r="T16" s="122"/>
      <c r="U16" s="122"/>
      <c r="V16" s="122"/>
    </row>
    <row r="17" customFormat="false" ht="13.2" hidden="false" customHeight="false" outlineLevel="0" collapsed="false">
      <c r="A17" s="122"/>
      <c r="B17" s="53" t="s">
        <v>465</v>
      </c>
      <c r="G17" s="53" t="s">
        <v>465</v>
      </c>
      <c r="K17" s="278"/>
      <c r="L17" s="122"/>
      <c r="M17" s="122"/>
      <c r="N17" s="122"/>
      <c r="O17" s="122"/>
      <c r="P17" s="122"/>
      <c r="Q17" s="122"/>
      <c r="R17" s="122"/>
      <c r="S17" s="122"/>
      <c r="T17" s="122"/>
      <c r="U17" s="122"/>
      <c r="V17" s="122"/>
    </row>
    <row r="18" customFormat="false" ht="13.2" hidden="false" customHeight="false" outlineLevel="0" collapsed="false">
      <c r="A18" s="122"/>
      <c r="B18" s="53" t="s">
        <v>466</v>
      </c>
      <c r="C18" s="0" t="n">
        <f aca="false">C14/C11^C19</f>
        <v>81</v>
      </c>
      <c r="F18" s="53"/>
      <c r="G18" s="53" t="s">
        <v>466</v>
      </c>
      <c r="H18" s="0" t="n">
        <f aca="false">H14/H11^H19</f>
        <v>51.4285714285714</v>
      </c>
      <c r="O18" s="313"/>
      <c r="P18" s="313"/>
      <c r="Q18" s="122"/>
      <c r="R18" s="122"/>
      <c r="S18" s="122"/>
      <c r="T18" s="122"/>
      <c r="U18" s="122"/>
      <c r="V18" s="122"/>
    </row>
    <row r="19" customFormat="false" ht="13.2" hidden="false" customHeight="false" outlineLevel="0" collapsed="false">
      <c r="A19" s="122"/>
      <c r="B19" s="53" t="s">
        <v>467</v>
      </c>
      <c r="C19" s="0" t="n">
        <f aca="false">LOG(C14/C15)/LOG(C11/C13)</f>
        <v>-0.568636235841013</v>
      </c>
      <c r="F19" s="53"/>
      <c r="G19" s="53" t="s">
        <v>467</v>
      </c>
      <c r="H19" s="0" t="n">
        <f aca="false">IF(H14=H15,0.000000000001,LOG(H14/H15)/LOG(H11/H13))</f>
        <v>-0.455931955649724</v>
      </c>
      <c r="I19" s="53" t="s">
        <v>468</v>
      </c>
      <c r="K19" s="278"/>
      <c r="L19" s="122"/>
      <c r="M19" s="313"/>
      <c r="N19" s="313"/>
      <c r="O19" s="122"/>
      <c r="P19" s="122"/>
      <c r="Q19" s="122"/>
      <c r="R19" s="122"/>
      <c r="S19" s="122"/>
      <c r="T19" s="122"/>
      <c r="U19" s="122"/>
      <c r="V19" s="122"/>
    </row>
    <row r="20" customFormat="false" ht="13.2" hidden="false" customHeight="false" outlineLevel="0" collapsed="false">
      <c r="A20" s="122"/>
      <c r="B20" s="53" t="s">
        <v>469</v>
      </c>
      <c r="C20" s="0" t="n">
        <f aca="false">C18*C8^C19</f>
        <v>117.483211158202</v>
      </c>
      <c r="D20" s="53" t="s">
        <v>44</v>
      </c>
      <c r="G20" s="53" t="s">
        <v>469</v>
      </c>
      <c r="H20" s="0" t="n">
        <f aca="false">H18*H8^H19</f>
        <v>14.4894153050617</v>
      </c>
      <c r="K20" s="278"/>
      <c r="L20" s="122"/>
      <c r="M20" s="304"/>
      <c r="N20" s="122"/>
      <c r="O20" s="122"/>
      <c r="P20" s="122"/>
      <c r="Q20" s="122"/>
      <c r="R20" s="122"/>
      <c r="S20" s="122"/>
      <c r="T20" s="122"/>
      <c r="U20" s="122"/>
      <c r="V20" s="122"/>
    </row>
    <row r="21" customFormat="false" ht="13.2" hidden="false" customHeight="false" outlineLevel="0" collapsed="false">
      <c r="A21" s="122"/>
      <c r="K21" s="278"/>
      <c r="L21" s="122"/>
      <c r="M21" s="122"/>
      <c r="N21" s="277"/>
      <c r="O21" s="122"/>
      <c r="P21" s="122"/>
      <c r="Q21" s="122"/>
      <c r="R21" s="122"/>
      <c r="S21" s="122"/>
      <c r="T21" s="122"/>
      <c r="U21" s="122"/>
      <c r="V21" s="122"/>
    </row>
    <row r="22" customFormat="false" ht="13.2" hidden="false" customHeight="false" outlineLevel="0" collapsed="false">
      <c r="A22" s="122"/>
      <c r="B22" s="147" t="s">
        <v>470</v>
      </c>
      <c r="C22" s="0" t="n">
        <f aca="false">C20*C9</f>
        <v>5874.16055791011</v>
      </c>
      <c r="D22" s="53"/>
      <c r="G22" s="147" t="s">
        <v>470</v>
      </c>
      <c r="H22" s="0" t="n">
        <f aca="false">H20*H9</f>
        <v>724.470765253083</v>
      </c>
      <c r="K22" s="278"/>
      <c r="L22" s="122"/>
      <c r="M22" s="122"/>
      <c r="N22" s="122"/>
      <c r="O22" s="122"/>
      <c r="P22" s="122"/>
      <c r="Q22" s="122"/>
      <c r="R22" s="122"/>
      <c r="S22" s="122"/>
      <c r="T22" s="122"/>
      <c r="U22" s="122"/>
      <c r="V22" s="122"/>
    </row>
    <row r="23" customFormat="false" ht="13.2" hidden="false" customHeight="false" outlineLevel="0" collapsed="false">
      <c r="A23" s="122"/>
      <c r="K23" s="278"/>
      <c r="L23" s="122"/>
      <c r="M23" s="122"/>
      <c r="N23" s="122"/>
      <c r="O23" s="122"/>
      <c r="P23" s="122"/>
      <c r="Q23" s="122"/>
      <c r="R23" s="122"/>
      <c r="S23" s="122"/>
      <c r="T23" s="122"/>
      <c r="U23" s="122"/>
      <c r="V23" s="122"/>
    </row>
    <row r="24" customFormat="false" ht="13.2" hidden="false" customHeight="false" outlineLevel="0" collapsed="false">
      <c r="A24" s="122"/>
      <c r="G24" s="53" t="s">
        <v>471</v>
      </c>
      <c r="H24" s="0" t="str">
        <f aca="false">'Design Calculator'!F81</f>
        <v>No</v>
      </c>
      <c r="K24" s="278"/>
      <c r="L24" s="122"/>
      <c r="M24" s="122"/>
      <c r="N24" s="122"/>
      <c r="O24" s="277"/>
      <c r="P24" s="122"/>
      <c r="Q24" s="122"/>
      <c r="R24" s="122"/>
      <c r="S24" s="122"/>
      <c r="T24" s="122"/>
      <c r="U24" s="122"/>
      <c r="V24" s="122"/>
    </row>
    <row r="25" customFormat="false" ht="13.2" hidden="false" customHeight="false" outlineLevel="0" collapsed="false">
      <c r="A25" s="122"/>
      <c r="B25" s="312" t="s">
        <v>472</v>
      </c>
      <c r="C25" s="0" t="n">
        <f aca="false">(TJMAX-TJ)/(TJMAX-25)</f>
        <v>0.248037647058824</v>
      </c>
      <c r="D25" s="278"/>
      <c r="E25" s="278"/>
      <c r="F25" s="278"/>
      <c r="G25" s="53" t="s">
        <v>473</v>
      </c>
      <c r="H25" s="0" t="n">
        <f aca="false">IF(H24="Yes", TJ,TAMB)</f>
        <v>85</v>
      </c>
      <c r="K25" s="278"/>
      <c r="L25" s="122"/>
      <c r="M25" s="122"/>
      <c r="N25" s="122"/>
      <c r="O25" s="277"/>
      <c r="P25" s="122"/>
      <c r="Q25" s="122"/>
      <c r="R25" s="122"/>
      <c r="S25" s="122"/>
      <c r="T25" s="122"/>
      <c r="U25" s="122"/>
      <c r="V25" s="122"/>
    </row>
    <row r="26" customFormat="false" ht="13.2" hidden="false" customHeight="false" outlineLevel="0" collapsed="false">
      <c r="A26" s="122"/>
      <c r="B26" s="314" t="s">
        <v>474</v>
      </c>
      <c r="C26" s="0" t="n">
        <f aca="false">IF((C22*C25)&lt;0,0.000000001,C22*C25)</f>
        <v>1457.01296322977</v>
      </c>
      <c r="D26" s="315" t="s">
        <v>59</v>
      </c>
      <c r="E26" s="278"/>
      <c r="F26" s="278"/>
      <c r="K26" s="278"/>
      <c r="L26" s="122"/>
      <c r="M26" s="122"/>
      <c r="N26" s="122"/>
      <c r="O26" s="122"/>
      <c r="P26" s="122"/>
      <c r="Q26" s="122"/>
      <c r="R26" s="122"/>
      <c r="S26" s="122"/>
      <c r="T26" s="122"/>
      <c r="U26" s="122"/>
      <c r="V26" s="122"/>
    </row>
    <row r="27" customFormat="false" ht="13.2" hidden="false" customHeight="false" outlineLevel="0" collapsed="false">
      <c r="A27" s="122"/>
      <c r="B27" s="277"/>
      <c r="C27" s="277"/>
      <c r="D27" s="278"/>
      <c r="E27" s="278"/>
      <c r="F27" s="278"/>
      <c r="G27" s="312" t="s">
        <v>472</v>
      </c>
      <c r="H27" s="0" t="n">
        <f aca="false">(TJMAX-H25)/(TJMAX-25)</f>
        <v>0.858823529411765</v>
      </c>
      <c r="K27" s="278"/>
      <c r="L27" s="122"/>
      <c r="M27" s="122"/>
      <c r="N27" s="122"/>
      <c r="O27" s="122"/>
      <c r="P27" s="122"/>
      <c r="Q27" s="122"/>
      <c r="R27" s="122"/>
      <c r="S27" s="122"/>
      <c r="T27" s="122"/>
      <c r="U27" s="122"/>
      <c r="V27" s="122"/>
    </row>
    <row r="28" customFormat="false" ht="13.2" hidden="false" customHeight="false" outlineLevel="0" collapsed="false">
      <c r="A28" s="122"/>
      <c r="B28" s="277"/>
      <c r="D28" s="278"/>
      <c r="E28" s="278"/>
      <c r="F28" s="278"/>
      <c r="G28" s="314" t="s">
        <v>474</v>
      </c>
      <c r="H28" s="0" t="n">
        <f aca="false">IF((H22*H27)&lt;0,0.000000001,H22*H27)</f>
        <v>622.192539570295</v>
      </c>
      <c r="K28" s="278"/>
      <c r="L28" s="122"/>
      <c r="M28" s="122"/>
      <c r="N28" s="122"/>
      <c r="O28" s="122"/>
      <c r="P28" s="122"/>
      <c r="Q28" s="122"/>
      <c r="R28" s="122"/>
      <c r="S28" s="122"/>
      <c r="T28" s="122"/>
      <c r="U28" s="122"/>
      <c r="V28" s="122"/>
    </row>
    <row r="29" customFormat="false" ht="13.2" hidden="false" customHeight="false" outlineLevel="0" collapsed="false">
      <c r="A29" s="122"/>
      <c r="B29" s="312" t="s">
        <v>475</v>
      </c>
      <c r="D29" s="278"/>
      <c r="E29" s="278"/>
      <c r="F29" s="278"/>
      <c r="H29" s="122"/>
      <c r="I29" s="306"/>
      <c r="J29" s="306"/>
      <c r="K29" s="306"/>
      <c r="L29" s="122"/>
      <c r="M29" s="122"/>
      <c r="N29" s="122"/>
      <c r="O29" s="122"/>
      <c r="P29" s="122"/>
      <c r="Q29" s="122"/>
      <c r="R29" s="122"/>
      <c r="S29" s="122"/>
      <c r="T29" s="122"/>
      <c r="U29" s="122"/>
      <c r="V29" s="122"/>
    </row>
    <row r="30" customFormat="false" ht="13.2" hidden="false" customHeight="false" outlineLevel="0" collapsed="false">
      <c r="A30" s="122"/>
      <c r="C30" s="309" t="s">
        <v>476</v>
      </c>
      <c r="D30" s="316" t="s">
        <v>477</v>
      </c>
      <c r="E30" s="316" t="s">
        <v>478</v>
      </c>
      <c r="F30" s="316" t="s">
        <v>479</v>
      </c>
      <c r="G30" s="278"/>
      <c r="H30" s="122"/>
      <c r="I30" s="306"/>
      <c r="J30" s="306"/>
      <c r="K30" s="306"/>
      <c r="L30" s="122"/>
      <c r="M30" s="122"/>
      <c r="N30" s="122"/>
      <c r="O30" s="122"/>
      <c r="P30" s="122"/>
      <c r="Q30" s="122"/>
      <c r="R30" s="122"/>
      <c r="S30" s="122"/>
      <c r="T30" s="122"/>
      <c r="U30" s="122"/>
      <c r="V30" s="122"/>
    </row>
    <row r="31" customFormat="false" ht="13.2" hidden="false" customHeight="false" outlineLevel="0" collapsed="false">
      <c r="B31" s="312" t="s">
        <v>480</v>
      </c>
      <c r="C31" s="225" t="n">
        <v>0.1</v>
      </c>
      <c r="D31" s="23" t="n">
        <v>1</v>
      </c>
      <c r="E31" s="278" t="n">
        <v>10</v>
      </c>
      <c r="F31" s="277" t="n">
        <v>100</v>
      </c>
      <c r="G31" s="310"/>
      <c r="H31" s="122"/>
      <c r="I31" s="122"/>
      <c r="J31" s="122"/>
      <c r="K31" s="122"/>
      <c r="L31" s="122"/>
      <c r="M31" s="122"/>
      <c r="N31" s="122"/>
      <c r="O31" s="122"/>
      <c r="P31" s="122"/>
      <c r="Q31" s="122"/>
      <c r="R31" s="122"/>
      <c r="S31" s="122"/>
      <c r="T31" s="122"/>
      <c r="U31" s="122"/>
      <c r="V31" s="122"/>
    </row>
    <row r="32" customFormat="false" ht="13.2" hidden="false" customHeight="false" outlineLevel="0" collapsed="false">
      <c r="B32" s="225" t="s">
        <v>481</v>
      </c>
      <c r="C32" s="23" t="n">
        <v>1</v>
      </c>
      <c r="D32" s="23" t="n">
        <v>10</v>
      </c>
      <c r="E32" s="278" t="n">
        <v>100</v>
      </c>
      <c r="F32" s="277" t="n">
        <v>1000</v>
      </c>
      <c r="G32" s="314"/>
      <c r="H32" s="122"/>
      <c r="I32" s="122"/>
      <c r="J32" s="122"/>
      <c r="K32" s="122"/>
      <c r="L32" s="122"/>
      <c r="M32" s="122"/>
      <c r="N32" s="122"/>
      <c r="O32" s="122"/>
      <c r="P32" s="122"/>
      <c r="Q32" s="122"/>
      <c r="R32" s="122"/>
      <c r="S32" s="122"/>
      <c r="T32" s="122"/>
      <c r="U32" s="122"/>
      <c r="V32" s="122"/>
    </row>
    <row r="33" customFormat="false" ht="13.2" hidden="false" customHeight="false" outlineLevel="0" collapsed="false">
      <c r="B33" s="225" t="s">
        <v>466</v>
      </c>
      <c r="C33" s="23" t="n">
        <f aca="false">B4/(C31^C34)</f>
        <v>81</v>
      </c>
      <c r="D33" s="23" t="n">
        <f aca="false">C4/(D31^D34)</f>
        <v>81</v>
      </c>
      <c r="E33" s="23" t="n">
        <f aca="false">IF('Design Calculator'!F62="NA",D33,D4/(E31^E34))</f>
        <v>51.4285714285714</v>
      </c>
      <c r="F33" s="23" t="n">
        <f aca="false">IF('Design Calculator'!F62="NA", E33, E4/(F31^F34))</f>
        <v>12.348</v>
      </c>
      <c r="G33" s="53"/>
      <c r="H33" s="122"/>
      <c r="I33" s="122"/>
      <c r="J33" s="122"/>
      <c r="K33" s="122"/>
      <c r="L33" s="122"/>
      <c r="M33" s="122"/>
      <c r="N33" s="122"/>
      <c r="O33" s="122"/>
      <c r="P33" s="122"/>
      <c r="Q33" s="122"/>
      <c r="R33" s="122"/>
      <c r="S33" s="122"/>
      <c r="T33" s="122"/>
      <c r="U33" s="122"/>
      <c r="V33" s="122"/>
    </row>
    <row r="34" customFormat="false" ht="13.2" hidden="false" customHeight="false" outlineLevel="0" collapsed="false">
      <c r="B34" s="225" t="s">
        <v>467</v>
      </c>
      <c r="C34" s="267" t="n">
        <f aca="false">LOG(B4/C4)/LOG(C31/C32)</f>
        <v>-0.568636235841013</v>
      </c>
      <c r="D34" s="267" t="n">
        <f aca="false">LOG(C4/D4)/LOG(D31/D32)</f>
        <v>-0.653212513775344</v>
      </c>
      <c r="E34" s="267" t="n">
        <f aca="false">IF('Design Calculator'!F62="NA", D34, LOG(D4/E4)/LOG(E31/E32))</f>
        <v>-0.455931955649724</v>
      </c>
      <c r="F34" s="267" t="n">
        <f aca="false">IF('Design Calculator'!F62="NA",E34,LOG(E4/F4)/LOG(F31/F32))</f>
        <v>-0.146128035678238</v>
      </c>
      <c r="G34" s="53"/>
      <c r="H34" s="122"/>
      <c r="I34" s="122"/>
      <c r="J34" s="122"/>
      <c r="K34" s="122"/>
      <c r="L34" s="122"/>
      <c r="M34" s="122"/>
      <c r="N34" s="122"/>
      <c r="O34" s="122"/>
      <c r="P34" s="122"/>
      <c r="Q34" s="122"/>
      <c r="R34" s="122"/>
      <c r="S34" s="122"/>
      <c r="T34" s="122"/>
      <c r="U34" s="122"/>
      <c r="V34" s="122"/>
    </row>
  </sheetData>
  <mergeCells count="3">
    <mergeCell ref="C2:E2"/>
    <mergeCell ref="N5:P5"/>
    <mergeCell ref="R5:T5"/>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C5:Y59"/>
  <sheetViews>
    <sheetView showFormulas="false" showGridLines="true" showRowColHeaders="true" showZeros="true" rightToLeft="false" tabSelected="false" showOutlineSymbols="true" defaultGridColor="true" view="normal" topLeftCell="C1" colorId="64" zoomScale="85" zoomScaleNormal="85" zoomScalePageLayoutView="100" workbookViewId="0">
      <selection pane="topLeft" activeCell="J24" activeCellId="0" sqref="J24"/>
    </sheetView>
  </sheetViews>
  <sheetFormatPr defaultRowHeight="13.2" zeroHeight="false" outlineLevelRow="0" outlineLevelCol="0"/>
  <cols>
    <col collapsed="false" customWidth="true" hidden="false" outlineLevel="0" max="3" min="1" style="0" width="8.67"/>
    <col collapsed="false" customWidth="true" hidden="false" outlineLevel="0" max="4" min="4" style="0" width="37.45"/>
    <col collapsed="false" customWidth="true" hidden="false" outlineLevel="0" max="5" min="5" style="0" width="15.78"/>
    <col collapsed="false" customWidth="true" hidden="false" outlineLevel="0" max="8" min="6" style="0" width="8.67"/>
    <col collapsed="false" customWidth="true" hidden="false" outlineLevel="0" max="9" min="9" style="0" width="13.22"/>
    <col collapsed="false" customWidth="true" hidden="false" outlineLevel="0" max="10" min="10" style="0" width="11.77"/>
    <col collapsed="false" customWidth="true" hidden="false" outlineLevel="0" max="11" min="11" style="0" width="11.45"/>
    <col collapsed="false" customWidth="true" hidden="false" outlineLevel="0" max="12" min="12" style="0" width="15"/>
    <col collapsed="false" customWidth="true" hidden="false" outlineLevel="0" max="13" min="13" style="0" width="13.78"/>
    <col collapsed="false" customWidth="true" hidden="false" outlineLevel="0" max="1025" min="14" style="0" width="8.67"/>
  </cols>
  <sheetData>
    <row r="5" customFormat="false" ht="13.2" hidden="false" customHeight="false" outlineLevel="0" collapsed="false">
      <c r="C5" s="53" t="s">
        <v>482</v>
      </c>
    </row>
    <row r="7" customFormat="false" ht="13.2" hidden="false" customHeight="false" outlineLevel="0" collapsed="false">
      <c r="C7" s="53" t="s">
        <v>483</v>
      </c>
    </row>
    <row r="8" customFormat="false" ht="13.2" hidden="false" customHeight="false" outlineLevel="0" collapsed="false">
      <c r="C8" s="53" t="s">
        <v>484</v>
      </c>
    </row>
    <row r="10" customFormat="false" ht="13.2" hidden="false" customHeight="false" outlineLevel="0" collapsed="false">
      <c r="C10" s="53" t="s">
        <v>485</v>
      </c>
    </row>
    <row r="11" customFormat="false" ht="13.2" hidden="false" customHeight="false" outlineLevel="0" collapsed="false">
      <c r="C11" s="53" t="s">
        <v>486</v>
      </c>
    </row>
    <row r="12" customFormat="false" ht="13.2" hidden="false" customHeight="false" outlineLevel="0" collapsed="false">
      <c r="C12" s="53" t="s">
        <v>487</v>
      </c>
    </row>
    <row r="13" customFormat="false" ht="13.2" hidden="false" customHeight="false" outlineLevel="0" collapsed="false">
      <c r="C13" s="53" t="s">
        <v>488</v>
      </c>
    </row>
    <row r="14" customFormat="false" ht="13.2" hidden="false" customHeight="false" outlineLevel="0" collapsed="false">
      <c r="C14" s="53" t="s">
        <v>489</v>
      </c>
      <c r="D14" s="53" t="s">
        <v>490</v>
      </c>
    </row>
    <row r="15" customFormat="false" ht="12" hidden="false" customHeight="true" outlineLevel="0" collapsed="false">
      <c r="C15" s="53"/>
      <c r="D15" s="53" t="s">
        <v>491</v>
      </c>
    </row>
    <row r="16" customFormat="false" ht="12" hidden="false" customHeight="true" outlineLevel="0" collapsed="false">
      <c r="C16" s="53"/>
      <c r="D16" s="53"/>
    </row>
    <row r="17" customFormat="false" ht="12" hidden="false" customHeight="true" outlineLevel="0" collapsed="false">
      <c r="C17" s="53"/>
      <c r="D17" s="53"/>
    </row>
    <row r="18" customFormat="false" ht="12" hidden="false" customHeight="true" outlineLevel="0" collapsed="false">
      <c r="C18" s="53"/>
      <c r="D18" s="309" t="s">
        <v>492</v>
      </c>
    </row>
    <row r="19" customFormat="false" ht="13.2" hidden="false" customHeight="false" outlineLevel="0" collapsed="false">
      <c r="C19" s="53"/>
      <c r="D19" s="53" t="s">
        <v>493</v>
      </c>
      <c r="E19" s="0" t="n">
        <f aca="false">SOA!H25</f>
        <v>85</v>
      </c>
    </row>
    <row r="20" customFormat="false" ht="13.2" hidden="false" customHeight="false" outlineLevel="0" collapsed="false">
      <c r="D20" s="53" t="s">
        <v>494</v>
      </c>
      <c r="E20" s="0" t="n">
        <v>1.5</v>
      </c>
      <c r="I20" s="312" t="s">
        <v>475</v>
      </c>
      <c r="K20" s="278"/>
      <c r="L20" s="278"/>
      <c r="M20" s="278"/>
    </row>
    <row r="21" customFormat="false" ht="13.2" hidden="false" customHeight="false" outlineLevel="0" collapsed="false">
      <c r="D21" s="53" t="s">
        <v>495</v>
      </c>
      <c r="E21" s="0" t="n">
        <f aca="false">1/2*COUTMAX*VINMAX^2*0.000001</f>
        <v>5</v>
      </c>
      <c r="J21" s="309" t="s">
        <v>476</v>
      </c>
      <c r="K21" s="316" t="s">
        <v>477</v>
      </c>
      <c r="L21" s="316" t="s">
        <v>478</v>
      </c>
      <c r="M21" s="316" t="s">
        <v>479</v>
      </c>
    </row>
    <row r="22" customFormat="false" ht="13.2" hidden="false" customHeight="false" outlineLevel="0" collapsed="false">
      <c r="D22" s="53" t="s">
        <v>496</v>
      </c>
      <c r="E22" s="0" t="n">
        <f aca="false">MAX(Equations!F58-E21,0)</f>
        <v>0</v>
      </c>
      <c r="I22" s="312" t="s">
        <v>480</v>
      </c>
      <c r="J22" s="225" t="n">
        <v>0.1</v>
      </c>
      <c r="K22" s="23" t="n">
        <v>1</v>
      </c>
      <c r="L22" s="278" t="n">
        <v>10</v>
      </c>
      <c r="M22" s="277" t="n">
        <v>100</v>
      </c>
    </row>
    <row r="23" customFormat="false" ht="13.2" hidden="false" customHeight="false" outlineLevel="0" collapsed="false">
      <c r="D23" s="53" t="s">
        <v>497</v>
      </c>
      <c r="E23" s="0" t="n">
        <f aca="false">Equations!F57</f>
        <v>32.5</v>
      </c>
      <c r="I23" s="225" t="s">
        <v>481</v>
      </c>
      <c r="J23" s="23" t="n">
        <v>1</v>
      </c>
      <c r="K23" s="23" t="n">
        <v>10</v>
      </c>
      <c r="L23" s="278" t="n">
        <v>100</v>
      </c>
      <c r="M23" s="277" t="n">
        <v>1000</v>
      </c>
    </row>
    <row r="24" customFormat="false" ht="13.2" hidden="false" customHeight="false" outlineLevel="0" collapsed="false">
      <c r="I24" s="225" t="s">
        <v>466</v>
      </c>
      <c r="J24" s="23" t="n">
        <f aca="false">SOA!C33</f>
        <v>81</v>
      </c>
      <c r="K24" s="23" t="n">
        <f aca="false">SOA!D33</f>
        <v>81</v>
      </c>
      <c r="L24" s="23" t="n">
        <f aca="false">SOA!E33</f>
        <v>51.4285714285714</v>
      </c>
      <c r="M24" s="23" t="n">
        <f aca="false">SOA!F33</f>
        <v>12.348</v>
      </c>
    </row>
    <row r="25" customFormat="false" ht="13.2" hidden="false" customHeight="false" outlineLevel="0" collapsed="false">
      <c r="D25" s="0" t="s">
        <v>101</v>
      </c>
      <c r="E25" s="0" t="n">
        <f aca="false">'Design Calculator'!F70</f>
        <v>0</v>
      </c>
      <c r="I25" s="225" t="s">
        <v>467</v>
      </c>
      <c r="J25" s="23" t="n">
        <f aca="false">SOA!C34</f>
        <v>-0.568636235841013</v>
      </c>
      <c r="K25" s="23" t="n">
        <f aca="false">SOA!D34</f>
        <v>-0.653212513775344</v>
      </c>
      <c r="L25" s="23" t="n">
        <f aca="false">SOA!E34</f>
        <v>-0.455931955649724</v>
      </c>
      <c r="M25" s="23" t="n">
        <f aca="false">SOA!F34</f>
        <v>-0.146128035678238</v>
      </c>
    </row>
    <row r="26" customFormat="false" ht="13.2" hidden="false" customHeight="false" outlineLevel="0" collapsed="false">
      <c r="D26" s="0" t="s">
        <v>102</v>
      </c>
      <c r="E26" s="0" t="str">
        <f aca="false">'Design Calculator'!F71</f>
        <v>Constant Current</v>
      </c>
    </row>
    <row r="27" customFormat="false" ht="13.2" hidden="false" customHeight="false" outlineLevel="0" collapsed="false">
      <c r="D27" s="0" t="s">
        <v>104</v>
      </c>
      <c r="E27" s="0" t="n">
        <f aca="false">'Design Calculator'!F72</f>
        <v>0</v>
      </c>
      <c r="I27" s="317" t="s">
        <v>498</v>
      </c>
      <c r="J27" s="309" t="s">
        <v>443</v>
      </c>
    </row>
    <row r="28" customFormat="false" ht="13.2" hidden="false" customHeight="false" outlineLevel="0" collapsed="false">
      <c r="G28" s="0" t="s">
        <v>499</v>
      </c>
      <c r="I28" s="234" t="n">
        <f aca="false">SUM(E58:X58)</f>
        <v>2.19957685299892</v>
      </c>
      <c r="J28" s="234" t="n">
        <f aca="false">IF(I28=0, "NA", I28/AVERAGE(1, E32))</f>
        <v>2.46484332855781</v>
      </c>
    </row>
    <row r="29" customFormat="false" ht="13.2" hidden="false" customHeight="false" outlineLevel="0" collapsed="false">
      <c r="D29" s="53" t="s">
        <v>500</v>
      </c>
      <c r="E29" s="0" t="n">
        <f aca="false">12/1</f>
        <v>12</v>
      </c>
      <c r="G29" s="0" t="s">
        <v>501</v>
      </c>
      <c r="I29" s="234" t="n">
        <f aca="false">SUM(E59:X59)</f>
        <v>0.12</v>
      </c>
      <c r="J29" s="234" t="n">
        <f aca="false">IF(I29=0, "NA", I29*AVERAGE(1,E32))</f>
        <v>0.107085598221087</v>
      </c>
    </row>
    <row r="30" customFormat="false" ht="13.2" hidden="false" customHeight="false" outlineLevel="0" collapsed="false">
      <c r="D30" s="53" t="s">
        <v>502</v>
      </c>
      <c r="E30" s="0" t="n">
        <v>0.12</v>
      </c>
    </row>
    <row r="31" customFormat="false" ht="13.2" hidden="false" customHeight="false" outlineLevel="0" collapsed="false">
      <c r="D31" s="53" t="s">
        <v>503</v>
      </c>
      <c r="E31" s="0" t="n">
        <v>20</v>
      </c>
    </row>
    <row r="32" customFormat="false" ht="13.2" hidden="false" customHeight="false" outlineLevel="0" collapsed="false">
      <c r="D32" s="53" t="s">
        <v>504</v>
      </c>
      <c r="E32" s="0" t="n">
        <f aca="false">(E30/E29)^(1/(E31-1))</f>
        <v>0.784759970351461</v>
      </c>
    </row>
    <row r="33" customFormat="false" ht="13.2" hidden="false" customHeight="false" outlineLevel="0" collapsed="false">
      <c r="D33" s="53"/>
    </row>
    <row r="34" customFormat="false" ht="13.2" hidden="false" customHeight="false" outlineLevel="0" collapsed="false">
      <c r="E34" s="0" t="n">
        <v>1</v>
      </c>
      <c r="F34" s="0" t="n">
        <v>2</v>
      </c>
      <c r="G34" s="0" t="n">
        <v>3</v>
      </c>
      <c r="H34" s="0" t="n">
        <v>4</v>
      </c>
      <c r="I34" s="0" t="n">
        <v>5</v>
      </c>
      <c r="J34" s="0" t="n">
        <v>6</v>
      </c>
      <c r="K34" s="0" t="n">
        <v>7</v>
      </c>
      <c r="L34" s="0" t="n">
        <v>8</v>
      </c>
      <c r="M34" s="0" t="n">
        <v>9</v>
      </c>
      <c r="N34" s="0" t="n">
        <v>10</v>
      </c>
      <c r="O34" s="0" t="n">
        <v>11</v>
      </c>
      <c r="P34" s="0" t="n">
        <v>12</v>
      </c>
      <c r="Q34" s="0" t="n">
        <v>13</v>
      </c>
      <c r="R34" s="0" t="n">
        <v>14</v>
      </c>
      <c r="S34" s="0" t="n">
        <v>15</v>
      </c>
      <c r="T34" s="0" t="n">
        <v>16</v>
      </c>
      <c r="U34" s="0" t="n">
        <v>17</v>
      </c>
      <c r="V34" s="0" t="n">
        <v>18</v>
      </c>
      <c r="W34" s="0" t="n">
        <v>19</v>
      </c>
      <c r="X34" s="0" t="n">
        <v>20</v>
      </c>
    </row>
    <row r="35" customFormat="false" ht="13.2" hidden="false" customHeight="false" outlineLevel="0" collapsed="false">
      <c r="D35" s="318" t="s">
        <v>505</v>
      </c>
      <c r="E35" s="318" t="n">
        <f aca="false">E29</f>
        <v>12</v>
      </c>
      <c r="F35" s="318" t="n">
        <f aca="false">E35*$E$32</f>
        <v>9.41711964421754</v>
      </c>
      <c r="G35" s="318" t="n">
        <f aca="false">F35*$E$32</f>
        <v>7.39017853279232</v>
      </c>
      <c r="H35" s="318" t="n">
        <f aca="false">G35*$E$32</f>
        <v>5.7995162862861</v>
      </c>
      <c r="I35" s="318" t="n">
        <f aca="false">H35*$E$32</f>
        <v>4.5512282288787</v>
      </c>
      <c r="J35" s="318" t="n">
        <f aca="false">I35*$E$32</f>
        <v>3.57162172995758</v>
      </c>
      <c r="K35" s="318" t="n">
        <f aca="false">J35*$E$32</f>
        <v>2.80286576290814</v>
      </c>
      <c r="L35" s="318" t="n">
        <f aca="false">K35*$E$32</f>
        <v>2.19957685299892</v>
      </c>
      <c r="M35" s="318" t="n">
        <f aca="false">L35*$E$32</f>
        <v>1.72613986594519</v>
      </c>
      <c r="N35" s="318" t="n">
        <f aca="false">M35*$E$32</f>
        <v>1.35460547002163</v>
      </c>
      <c r="O35" s="318" t="n">
        <f aca="false">N35*$E$32</f>
        <v>1.0630401484921</v>
      </c>
      <c r="P35" s="318" t="n">
        <f aca="false">O35*$E$32</f>
        <v>0.834231355413071</v>
      </c>
      <c r="Q35" s="318" t="n">
        <f aca="false">P35*$E$32</f>
        <v>0.654671373740221</v>
      </c>
      <c r="R35" s="318" t="n">
        <f aca="false">Q35*$E$32</f>
        <v>0.513759887846326</v>
      </c>
      <c r="S35" s="318" t="n">
        <f aca="false">R35*$E$32</f>
        <v>0.403178194354053</v>
      </c>
      <c r="T35" s="318" t="n">
        <f aca="false">S35*$E$32</f>
        <v>0.316398107847642</v>
      </c>
      <c r="U35" s="318" t="n">
        <f aca="false">T35*$E$32</f>
        <v>0.248296569733774</v>
      </c>
      <c r="V35" s="318" t="n">
        <f aca="false">U35*$E$32</f>
        <v>0.194853208702646</v>
      </c>
      <c r="W35" s="318" t="n">
        <f aca="false">V35*$E$32</f>
        <v>0.152912998284376</v>
      </c>
      <c r="X35" s="318" t="n">
        <f aca="false">W35*$E$32</f>
        <v>0.12</v>
      </c>
    </row>
    <row r="36" customFormat="false" ht="13.2" hidden="false" customHeight="false" outlineLevel="0" collapsed="false">
      <c r="D36" s="53" t="s">
        <v>506</v>
      </c>
      <c r="E36" s="0" t="n">
        <f aca="false">VINMAX/E35</f>
        <v>4.16666666666667</v>
      </c>
      <c r="F36" s="0" t="n">
        <f aca="false">VINMAX/F35</f>
        <v>5.30947910709639</v>
      </c>
      <c r="G36" s="0" t="n">
        <f aca="false">VINMAX/G35</f>
        <v>6.76573641328634</v>
      </c>
      <c r="H36" s="0" t="n">
        <f aca="false">VINMAX/H35</f>
        <v>8.62140867131163</v>
      </c>
      <c r="I36" s="0" t="n">
        <f aca="false">VINMAX/I35</f>
        <v>10.9860454113765</v>
      </c>
      <c r="J36" s="0" t="n">
        <f aca="false">VINMAX/J35</f>
        <v>13.9992428595158</v>
      </c>
      <c r="K36" s="0" t="n">
        <f aca="false">VINMAX/K35</f>
        <v>17.8388849946642</v>
      </c>
      <c r="L36" s="0" t="n">
        <f aca="false">VINMAX/L35</f>
        <v>22.7316449215355</v>
      </c>
      <c r="M36" s="0" t="n">
        <f aca="false">VINMAX/M35</f>
        <v>28.9663665073984</v>
      </c>
      <c r="N36" s="0" t="n">
        <f aca="false">VINMAX/N35</f>
        <v>36.9111162670868</v>
      </c>
      <c r="O36" s="0" t="n">
        <f aca="false">VINMAX/O35</f>
        <v>47.0349121535288</v>
      </c>
      <c r="P36" s="0" t="n">
        <f aca="false">VINMAX/P35</f>
        <v>59.935412011986</v>
      </c>
      <c r="Q36" s="0" t="n">
        <f aca="false">VINMAX/Q35</f>
        <v>76.374196284685</v>
      </c>
      <c r="R36" s="0" t="n">
        <f aca="false">VINMAX/R35</f>
        <v>97.3217278787553</v>
      </c>
      <c r="S36" s="0" t="n">
        <f aca="false">VINMAX/S35</f>
        <v>124.014643401305</v>
      </c>
      <c r="T36" s="0" t="n">
        <f aca="false">VINMAX/T35</f>
        <v>158.028757947177</v>
      </c>
      <c r="U36" s="0" t="n">
        <f aca="false">VINMAX/U35</f>
        <v>201.372093273824</v>
      </c>
      <c r="V36" s="0" t="n">
        <f aca="false">VINMAX/V35</f>
        <v>256.603421277512</v>
      </c>
      <c r="W36" s="0" t="n">
        <f aca="false">VINMAX/W35</f>
        <v>326.983320979776</v>
      </c>
      <c r="X36" s="0" t="n">
        <f aca="false">VINMAX/X35</f>
        <v>416.666666666668</v>
      </c>
    </row>
    <row r="37" customFormat="false" ht="13.2" hidden="false" customHeight="false" outlineLevel="0" collapsed="false">
      <c r="D37" s="53" t="s">
        <v>507</v>
      </c>
      <c r="E37" s="0" t="n">
        <f aca="false">E35*COUTMAX/1000</f>
        <v>48</v>
      </c>
      <c r="F37" s="0" t="n">
        <f aca="false">F35*COUTMAX/1000</f>
        <v>37.6684785768701</v>
      </c>
      <c r="G37" s="0" t="n">
        <f aca="false">G35*COUTMAX/1000</f>
        <v>29.5607141311693</v>
      </c>
      <c r="H37" s="0" t="n">
        <f aca="false">H35*COUTMAX/1000</f>
        <v>23.1980651451444</v>
      </c>
      <c r="I37" s="0" t="n">
        <f aca="false">I35*COUTMAX/1000</f>
        <v>18.2049129155148</v>
      </c>
      <c r="J37" s="0" t="n">
        <f aca="false">J35*COUTMAX/1000</f>
        <v>14.2864869198303</v>
      </c>
      <c r="K37" s="0" t="n">
        <f aca="false">K35*COUTMAX/1000</f>
        <v>11.2114630516326</v>
      </c>
      <c r="L37" s="0" t="n">
        <f aca="false">L35*COUTMAX/1000</f>
        <v>8.79830741199569</v>
      </c>
      <c r="M37" s="0" t="n">
        <f aca="false">M35*COUTMAX/1000</f>
        <v>6.90455946378077</v>
      </c>
      <c r="N37" s="0" t="n">
        <f aca="false">N35*COUTMAX/1000</f>
        <v>5.4184218800865</v>
      </c>
      <c r="O37" s="0" t="n">
        <f aca="false">O35*COUTMAX/1000</f>
        <v>4.25216059396839</v>
      </c>
      <c r="P37" s="0" t="n">
        <f aca="false">P35*COUTMAX/1000</f>
        <v>3.33692542165229</v>
      </c>
      <c r="Q37" s="0" t="n">
        <f aca="false">Q35*COUTMAX/1000</f>
        <v>2.61868549496088</v>
      </c>
      <c r="R37" s="0" t="n">
        <f aca="false">R35*COUTMAX/1000</f>
        <v>2.05503955138531</v>
      </c>
      <c r="S37" s="0" t="n">
        <f aca="false">S35*COUTMAX/1000</f>
        <v>1.61271277741621</v>
      </c>
      <c r="T37" s="0" t="n">
        <f aca="false">T35*COUTMAX/1000</f>
        <v>1.26559243139057</v>
      </c>
      <c r="U37" s="0" t="n">
        <f aca="false">U35*COUTMAX/1000</f>
        <v>0.993186278935097</v>
      </c>
      <c r="V37" s="0" t="n">
        <f aca="false">V35*COUTMAX/1000</f>
        <v>0.779412834810585</v>
      </c>
      <c r="W37" s="0" t="n">
        <f aca="false">W35*COUTMAX/1000</f>
        <v>0.611651993137503</v>
      </c>
      <c r="X37" s="0" t="n">
        <f aca="false">X35*COUTMAX/1000</f>
        <v>0.479999999999999</v>
      </c>
    </row>
    <row r="38" customFormat="false" ht="13.2" hidden="false" customHeight="false" outlineLevel="0" collapsed="false">
      <c r="D38" s="53" t="s">
        <v>508</v>
      </c>
      <c r="E38" s="0" t="n">
        <f aca="false">$E$21+$E$22*E36/$E$23</f>
        <v>5</v>
      </c>
      <c r="F38" s="0" t="n">
        <f aca="false">$E$21+$E$22*F36/$E$23</f>
        <v>5</v>
      </c>
      <c r="G38" s="0" t="n">
        <f aca="false">$E$21+$E$22*G36/$E$23</f>
        <v>5</v>
      </c>
      <c r="H38" s="0" t="n">
        <f aca="false">$E$21+$E$22*H36/$E$23</f>
        <v>5</v>
      </c>
      <c r="I38" s="0" t="n">
        <f aca="false">$E$21+$E$22*I36/$E$23</f>
        <v>5</v>
      </c>
      <c r="J38" s="0" t="n">
        <f aca="false">$E$21+$E$22*J36/$E$23</f>
        <v>5</v>
      </c>
      <c r="K38" s="0" t="n">
        <f aca="false">$E$21+$E$22*K36/$E$23</f>
        <v>5</v>
      </c>
      <c r="L38" s="0" t="n">
        <f aca="false">$E$21+$E$22*L36/$E$23</f>
        <v>5</v>
      </c>
      <c r="M38" s="0" t="n">
        <f aca="false">$E$21+$E$22*M36/$E$23</f>
        <v>5</v>
      </c>
      <c r="N38" s="0" t="n">
        <f aca="false">$E$21+$E$22*N36/$E$23</f>
        <v>5</v>
      </c>
      <c r="O38" s="0" t="n">
        <f aca="false">$E$21+$E$22*O36/$E$23</f>
        <v>5</v>
      </c>
      <c r="P38" s="0" t="n">
        <f aca="false">$E$21+$E$22*P36/$E$23</f>
        <v>5</v>
      </c>
      <c r="Q38" s="0" t="n">
        <f aca="false">$E$21+$E$22*Q36/$E$23</f>
        <v>5</v>
      </c>
      <c r="R38" s="0" t="n">
        <f aca="false">$E$21+$E$22*R36/$E$23</f>
        <v>5</v>
      </c>
      <c r="S38" s="0" t="n">
        <f aca="false">$E$21+$E$22*S36/$E$23</f>
        <v>5</v>
      </c>
      <c r="T38" s="0" t="n">
        <f aca="false">$E$21+$E$22*T36/$E$23</f>
        <v>5</v>
      </c>
      <c r="U38" s="0" t="n">
        <f aca="false">$E$21+$E$22*U36/$E$23</f>
        <v>5</v>
      </c>
      <c r="V38" s="0" t="n">
        <f aca="false">$E$21+$E$22*V36/$E$23</f>
        <v>5</v>
      </c>
      <c r="W38" s="0" t="n">
        <f aca="false">$E$21+$E$22*W36/$E$23</f>
        <v>5</v>
      </c>
      <c r="X38" s="0" t="n">
        <f aca="false">$E$21+$E$22*X36/$E$23</f>
        <v>5</v>
      </c>
    </row>
    <row r="39" customFormat="false" ht="13.2" hidden="false" customHeight="false" outlineLevel="0" collapsed="false">
      <c r="D39" s="53" t="s">
        <v>509</v>
      </c>
      <c r="E39" s="0" t="n">
        <f aca="false">(E37+IF($E$26="Resistive",0,IF($E$25=0,$E$27,0)))*VINMAX</f>
        <v>2400</v>
      </c>
      <c r="F39" s="0" t="n">
        <f aca="false">(F37+IF($E$26="Resistive",0,IF($E$25=0,$E$27,0)))*VINMAX</f>
        <v>1883.42392884351</v>
      </c>
      <c r="G39" s="0" t="n">
        <f aca="false">(G37+IF($E$26="Resistive",0,IF($E$25=0,$E$27,0)))*VINMAX</f>
        <v>1478.03570655846</v>
      </c>
      <c r="H39" s="0" t="n">
        <f aca="false">(H37+IF($E$26="Resistive",0,IF($E$25=0,$E$27,0)))*VINMAX</f>
        <v>1159.90325725722</v>
      </c>
      <c r="I39" s="0" t="n">
        <f aca="false">(I37+IF($E$26="Resistive",0,IF($E$25=0,$E$27,0)))*VINMAX</f>
        <v>910.24564577574</v>
      </c>
      <c r="J39" s="0" t="n">
        <f aca="false">(J37+IF($E$26="Resistive",0,IF($E$25=0,$E$27,0)))*VINMAX</f>
        <v>714.324345991516</v>
      </c>
      <c r="K39" s="0" t="n">
        <f aca="false">(K37+IF($E$26="Resistive",0,IF($E$25=0,$E$27,0)))*VINMAX</f>
        <v>560.573152581629</v>
      </c>
      <c r="L39" s="0" t="n">
        <f aca="false">(L37+IF($E$26="Resistive",0,IF($E$25=0,$E$27,0)))*VINMAX</f>
        <v>439.915370599784</v>
      </c>
      <c r="M39" s="0" t="n">
        <f aca="false">(M37+IF($E$26="Resistive",0,IF($E$25=0,$E$27,0)))*VINMAX</f>
        <v>345.227973189039</v>
      </c>
      <c r="N39" s="0" t="n">
        <f aca="false">(N37+IF($E$26="Resistive",0,IF($E$25=0,$E$27,0)))*VINMAX</f>
        <v>270.921094004325</v>
      </c>
      <c r="O39" s="0" t="n">
        <f aca="false">(O37+IF($E$26="Resistive",0,IF($E$25=0,$E$27,0)))*VINMAX</f>
        <v>212.60802969842</v>
      </c>
      <c r="P39" s="0" t="n">
        <f aca="false">(P37+IF($E$26="Resistive",0,IF($E$25=0,$E$27,0)))*VINMAX</f>
        <v>166.846271082614</v>
      </c>
      <c r="Q39" s="0" t="n">
        <f aca="false">(Q37+IF($E$26="Resistive",0,IF($E$25=0,$E$27,0)))*VINMAX</f>
        <v>130.934274748044</v>
      </c>
      <c r="R39" s="0" t="n">
        <f aca="false">(R37+IF($E$26="Resistive",0,IF($E$25=0,$E$27,0)))*VINMAX</f>
        <v>102.751977569265</v>
      </c>
      <c r="S39" s="0" t="n">
        <f aca="false">(S37+IF($E$26="Resistive",0,IF($E$25=0,$E$27,0)))*VINMAX</f>
        <v>80.6356388708106</v>
      </c>
      <c r="T39" s="0" t="n">
        <f aca="false">(T37+IF($E$26="Resistive",0,IF($E$25=0,$E$27,0)))*VINMAX</f>
        <v>63.2796215695285</v>
      </c>
      <c r="U39" s="0" t="n">
        <f aca="false">(U37+IF($E$26="Resistive",0,IF($E$25=0,$E$27,0)))*VINMAX</f>
        <v>49.6593139467548</v>
      </c>
      <c r="V39" s="0" t="n">
        <f aca="false">(V37+IF($E$26="Resistive",0,IF($E$25=0,$E$27,0)))*VINMAX</f>
        <v>38.9706417405292</v>
      </c>
      <c r="W39" s="0" t="n">
        <f aca="false">(W37+IF($E$26="Resistive",0,IF($E$25=0,$E$27,0)))*VINMAX</f>
        <v>30.5825996568751</v>
      </c>
      <c r="X39" s="0" t="n">
        <f aca="false">(X37+IF($E$26="Resistive",0,IF($E$25=0,$E$27,0)))*VINMAX</f>
        <v>23.9999999999999</v>
      </c>
    </row>
    <row r="40" customFormat="false" ht="13.2" hidden="false" customHeight="false" outlineLevel="0" collapsed="false">
      <c r="D40" s="53" t="s">
        <v>510</v>
      </c>
      <c r="E40" s="0" t="n">
        <f aca="false">(E37+IF($E$26="Resistive", $E$25/$E$27,$E$27)) *(VINMAX-$E$25)</f>
        <v>2400</v>
      </c>
      <c r="F40" s="0" t="n">
        <f aca="false">(F37+IF($E$26="Resistive", $E$25/$E$27,$E$27)) *(VINMAX-$E$25)</f>
        <v>1883.42392884351</v>
      </c>
      <c r="G40" s="0" t="n">
        <f aca="false">(G37+IF($E$26="Resistive", $E$25/$E$27,$E$27)) *(VINMAX-$E$25)</f>
        <v>1478.03570655846</v>
      </c>
      <c r="H40" s="0" t="n">
        <f aca="false">(H37+IF($E$26="Resistive", $E$25/$E$27,$E$27)) *(VINMAX-$E$25)</f>
        <v>1159.90325725722</v>
      </c>
      <c r="I40" s="0" t="n">
        <f aca="false">(I37+IF($E$26="Resistive", $E$25/$E$27,$E$27)) *(VINMAX-$E$25)</f>
        <v>910.24564577574</v>
      </c>
      <c r="J40" s="0" t="n">
        <f aca="false">(J37+IF($E$26="Resistive", $E$25/$E$27,$E$27)) *(VINMAX-$E$25)</f>
        <v>714.324345991516</v>
      </c>
      <c r="K40" s="0" t="n">
        <f aca="false">(K37+IF($E$26="Resistive", $E$25/$E$27,$E$27)) *(VINMAX-$E$25)</f>
        <v>560.573152581629</v>
      </c>
      <c r="L40" s="0" t="n">
        <f aca="false">(L37+IF($E$26="Resistive", $E$25/$E$27,$E$27)) *(VINMAX-$E$25)</f>
        <v>439.915370599784</v>
      </c>
      <c r="M40" s="0" t="n">
        <f aca="false">(M37+IF($E$26="Resistive", $E$25/$E$27,$E$27)) *(VINMAX-$E$25)</f>
        <v>345.227973189039</v>
      </c>
      <c r="N40" s="0" t="n">
        <f aca="false">(N37+IF($E$26="Resistive", $E$25/$E$27,$E$27)) *(VINMAX-$E$25)</f>
        <v>270.921094004325</v>
      </c>
      <c r="O40" s="0" t="n">
        <f aca="false">(O37+IF($E$26="Resistive", $E$25/$E$27,$E$27)) *(VINMAX-$E$25)</f>
        <v>212.60802969842</v>
      </c>
      <c r="P40" s="0" t="n">
        <f aca="false">(P37+IF($E$26="Resistive", $E$25/$E$27,$E$27)) *(VINMAX-$E$25)</f>
        <v>166.846271082614</v>
      </c>
      <c r="Q40" s="0" t="n">
        <f aca="false">(Q37+IF($E$26="Resistive", $E$25/$E$27,$E$27)) *(VINMAX-$E$25)</f>
        <v>130.934274748044</v>
      </c>
      <c r="R40" s="0" t="n">
        <f aca="false">(R37+IF($E$26="Resistive", $E$25/$E$27,$E$27)) *(VINMAX-$E$25)</f>
        <v>102.751977569265</v>
      </c>
      <c r="S40" s="0" t="n">
        <f aca="false">(S37+IF($E$26="Resistive", $E$25/$E$27,$E$27)) *(VINMAX-$E$25)</f>
        <v>80.6356388708106</v>
      </c>
      <c r="T40" s="0" t="n">
        <f aca="false">(T37+IF($E$26="Resistive", $E$25/$E$27,$E$27)) *(VINMAX-$E$25)</f>
        <v>63.2796215695285</v>
      </c>
      <c r="U40" s="0" t="n">
        <f aca="false">(U37+IF($E$26="Resistive", $E$25/$E$27,$E$27)) *(VINMAX-$E$25)</f>
        <v>49.6593139467548</v>
      </c>
      <c r="V40" s="0" t="n">
        <f aca="false">(V37+IF($E$26="Resistive", $E$25/$E$27,$E$27)) *(VINMAX-$E$25)</f>
        <v>38.9706417405292</v>
      </c>
      <c r="W40" s="0" t="n">
        <f aca="false">(W37+IF($E$26="Resistive", $E$25/$E$27,$E$27)) *(VINMAX-$E$25)</f>
        <v>30.5825996568751</v>
      </c>
      <c r="X40" s="0" t="n">
        <f aca="false">(X37+IF($E$26="Resistive", $E$25/$E$27,$E$27)) *(VINMAX-$E$25)</f>
        <v>23.9999999999999</v>
      </c>
    </row>
    <row r="41" customFormat="false" ht="13.2" hidden="false" customHeight="false" outlineLevel="0" collapsed="false">
      <c r="D41" s="53" t="s">
        <v>511</v>
      </c>
      <c r="E41" s="0" t="n">
        <f aca="false">IF($E$26="Resistive", -$E$27*E37/2 + VINMAX/2, -1)</f>
        <v>-1</v>
      </c>
      <c r="F41" s="0" t="n">
        <f aca="false">IF($E$26="Resistive", -$E$27*F37/2 + VINMAX/2, -1)</f>
        <v>-1</v>
      </c>
      <c r="G41" s="0" t="n">
        <f aca="false">IF($E$26="Resistive", -$E$27*G37/2 + VINMAX/2, -1)</f>
        <v>-1</v>
      </c>
      <c r="H41" s="0" t="n">
        <f aca="false">IF($E$26="Resistive", -$E$27*H37/2 + VINMAX/2, -1)</f>
        <v>-1</v>
      </c>
      <c r="I41" s="0" t="n">
        <f aca="false">IF($E$26="Resistive", -$E$27*I37/2 + VINMAX/2, -1)</f>
        <v>-1</v>
      </c>
      <c r="J41" s="0" t="n">
        <f aca="false">IF($E$26="Resistive", -$E$27*J37/2 + VINMAX/2, -1)</f>
        <v>-1</v>
      </c>
      <c r="K41" s="0" t="n">
        <f aca="false">IF($E$26="Resistive", -$E$27*K37/2 + VINMAX/2, -1)</f>
        <v>-1</v>
      </c>
      <c r="L41" s="0" t="n">
        <f aca="false">IF($E$26="Resistive", -$E$27*L37/2 + VINMAX/2, -1)</f>
        <v>-1</v>
      </c>
      <c r="M41" s="0" t="n">
        <f aca="false">IF($E$26="Resistive", -$E$27*M37/2 + VINMAX/2, -1)</f>
        <v>-1</v>
      </c>
      <c r="N41" s="0" t="n">
        <f aca="false">IF($E$26="Resistive", -$E$27*N37/2 + VINMAX/2, -1)</f>
        <v>-1</v>
      </c>
      <c r="O41" s="0" t="n">
        <f aca="false">IF($E$26="Resistive", -$E$27*O37/2 + VINMAX/2, -1)</f>
        <v>-1</v>
      </c>
      <c r="P41" s="0" t="n">
        <f aca="false">IF($E$26="Resistive", -$E$27*P37/2 + VINMAX/2, -1)</f>
        <v>-1</v>
      </c>
      <c r="Q41" s="0" t="n">
        <f aca="false">IF($E$26="Resistive", -$E$27*Q37/2 + VINMAX/2, -1)</f>
        <v>-1</v>
      </c>
      <c r="R41" s="0" t="n">
        <f aca="false">IF($E$26="Resistive", -$E$27*R37/2 + VINMAX/2, -1)</f>
        <v>-1</v>
      </c>
      <c r="S41" s="0" t="n">
        <f aca="false">IF($E$26="Resistive", -$E$27*S37/2 + VINMAX/2, -1)</f>
        <v>-1</v>
      </c>
      <c r="T41" s="0" t="n">
        <f aca="false">IF($E$26="Resistive", -$E$27*T37/2 + VINMAX/2, -1)</f>
        <v>-1</v>
      </c>
      <c r="U41" s="0" t="n">
        <f aca="false">IF($E$26="Resistive", -$E$27*U37/2 + VINMAX/2, -1)</f>
        <v>-1</v>
      </c>
      <c r="V41" s="0" t="n">
        <f aca="false">IF($E$26="Resistive", -$E$27*V37/2 + VINMAX/2, -1)</f>
        <v>-1</v>
      </c>
      <c r="W41" s="0" t="n">
        <f aca="false">IF($E$26="Resistive", -$E$27*W37/2 + VINMAX/2, -1)</f>
        <v>-1</v>
      </c>
      <c r="X41" s="0" t="n">
        <f aca="false">IF($E$26="Resistive", -$E$27*X37/2 + VINMAX/2, -1)</f>
        <v>-1</v>
      </c>
    </row>
    <row r="42" customFormat="false" ht="13.2" hidden="false" customHeight="false" outlineLevel="0" collapsed="false">
      <c r="D42" s="53" t="s">
        <v>512</v>
      </c>
      <c r="E42" s="0" t="n">
        <f aca="false">IF(AND(E41&lt;VINMAX, E41&gt;$E$25), (VINMAX-E41)*(E37+E41/$E$27), 0)</f>
        <v>0</v>
      </c>
      <c r="F42" s="0" t="n">
        <f aca="false">IF(AND(F41&lt;VINMAX, F41&gt;$E$25), (VINMAX-F41)*(F37+F41/$E$27), 0)</f>
        <v>0</v>
      </c>
      <c r="G42" s="0" t="n">
        <f aca="false">IF(AND(G41&lt;VINMAX, G41&gt;$E$25), (VINMAX-G41)*(G37+G41/$E$27), 0)</f>
        <v>0</v>
      </c>
      <c r="H42" s="0" t="n">
        <f aca="false">IF(AND(H41&lt;VINMAX, H41&gt;$E$25), (VINMAX-H41)*(H37+H41/$E$27), 0)</f>
        <v>0</v>
      </c>
      <c r="I42" s="0" t="n">
        <f aca="false">IF(AND(I41&lt;VINMAX, I41&gt;$E$25), (VINMAX-I41)*(I37+I41/$E$27), 0)</f>
        <v>0</v>
      </c>
      <c r="J42" s="0" t="n">
        <f aca="false">IF(AND(J41&lt;VINMAX, J41&gt;$E$25), (VINMAX-J41)*(J37+J41/$E$27), 0)</f>
        <v>0</v>
      </c>
      <c r="K42" s="0" t="n">
        <f aca="false">IF(AND(K41&lt;VINMAX, K41&gt;$E$25), (VINMAX-K41)*(K37+K41/$E$27), 0)</f>
        <v>0</v>
      </c>
      <c r="L42" s="0" t="n">
        <f aca="false">IF(AND(L41&lt;VINMAX, L41&gt;$E$25), (VINMAX-L41)*(L37+L41/$E$27), 0)</f>
        <v>0</v>
      </c>
      <c r="M42" s="0" t="n">
        <f aca="false">IF(AND(M41&lt;VINMAX, M41&gt;$E$25), (VINMAX-M41)*(M37+M41/$E$27), 0)</f>
        <v>0</v>
      </c>
      <c r="N42" s="0" t="n">
        <f aca="false">IF(AND(N41&lt;VINMAX, N41&gt;$E$25), (VINMAX-N41)*(N37+N41/$E$27), 0)</f>
        <v>0</v>
      </c>
      <c r="O42" s="0" t="n">
        <f aca="false">IF(AND(O41&lt;VINMAX, O41&gt;$E$25), (VINMAX-O41)*(O37+O41/$E$27), 0)</f>
        <v>0</v>
      </c>
      <c r="P42" s="0" t="n">
        <f aca="false">IF(AND(P41&lt;VINMAX, P41&gt;$E$25), (VINMAX-P41)*(P37+P41/$E$27), 0)</f>
        <v>0</v>
      </c>
      <c r="Q42" s="0" t="n">
        <f aca="false">IF(AND(Q41&lt;VINMAX, Q41&gt;$E$25), (VINMAX-Q41)*(Q37+Q41/$E$27), 0)</f>
        <v>0</v>
      </c>
      <c r="R42" s="0" t="n">
        <f aca="false">IF(AND(R41&lt;VINMAX, R41&gt;$E$25), (VINMAX-R41)*(R37+R41/$E$27), 0)</f>
        <v>0</v>
      </c>
      <c r="S42" s="0" t="n">
        <f aca="false">IF(AND(S41&lt;VINMAX, S41&gt;$E$25), (VINMAX-S41)*(S37+S41/$E$27), 0)</f>
        <v>0</v>
      </c>
      <c r="T42" s="0" t="n">
        <f aca="false">IF(AND(T41&lt;VINMAX, T41&gt;$E$25), (VINMAX-T41)*(T37+T41/$E$27), 0)</f>
        <v>0</v>
      </c>
      <c r="U42" s="0" t="n">
        <f aca="false">IF(AND(U41&lt;VINMAX, U41&gt;$E$25), (VINMAX-U41)*(U37+U41/$E$27), 0)</f>
        <v>0</v>
      </c>
      <c r="V42" s="0" t="n">
        <f aca="false">IF(AND(V41&lt;VINMAX, V41&gt;$E$25), (VINMAX-V41)*(V37+V41/$E$27), 0)</f>
        <v>0</v>
      </c>
      <c r="W42" s="0" t="n">
        <f aca="false">IF(AND(W41&lt;VINMAX, W41&gt;$E$25), (VINMAX-W41)*(W37+W41/$E$27), 0)</f>
        <v>0</v>
      </c>
      <c r="X42" s="0" t="n">
        <f aca="false">IF(AND(X41&lt;VINMAX, X41&gt;$E$25), (VINMAX-X41)*(X37+X41/$E$27), 0)</f>
        <v>0</v>
      </c>
    </row>
    <row r="44" customFormat="false" ht="13.2" hidden="false" customHeight="false" outlineLevel="0" collapsed="false">
      <c r="D44" s="53" t="s">
        <v>513</v>
      </c>
      <c r="E44" s="0" t="n">
        <f aca="false">MAX(E39,E40,E42)</f>
        <v>2400</v>
      </c>
      <c r="F44" s="0" t="n">
        <f aca="false">MAX(F39,F40,F42)</f>
        <v>1883.42392884351</v>
      </c>
      <c r="G44" s="0" t="n">
        <f aca="false">MAX(G39,G40,G42)</f>
        <v>1478.03570655846</v>
      </c>
      <c r="H44" s="0" t="n">
        <f aca="false">MAX(H39,H40,H42)</f>
        <v>1159.90325725722</v>
      </c>
      <c r="I44" s="0" t="n">
        <f aca="false">MAX(I39,I40,I42)</f>
        <v>910.24564577574</v>
      </c>
      <c r="J44" s="0" t="n">
        <f aca="false">MAX(J39,J40,J42)</f>
        <v>714.324345991516</v>
      </c>
      <c r="K44" s="0" t="n">
        <f aca="false">MAX(K39,K40,K42)</f>
        <v>560.573152581629</v>
      </c>
      <c r="L44" s="0" t="n">
        <f aca="false">MAX(L39,L40,L42)</f>
        <v>439.915370599784</v>
      </c>
      <c r="M44" s="0" t="n">
        <f aca="false">MAX(M39,M40,M42)</f>
        <v>345.227973189039</v>
      </c>
      <c r="N44" s="0" t="n">
        <f aca="false">MAX(N39,N40,N42)</f>
        <v>270.921094004325</v>
      </c>
      <c r="O44" s="0" t="n">
        <f aca="false">MAX(O39,O40,O42)</f>
        <v>212.60802969842</v>
      </c>
      <c r="P44" s="0" t="n">
        <f aca="false">MAX(P39,P40,P42)</f>
        <v>166.846271082614</v>
      </c>
      <c r="Q44" s="0" t="n">
        <f aca="false">MAX(Q39,Q40,Q42)</f>
        <v>130.934274748044</v>
      </c>
      <c r="R44" s="0" t="n">
        <f aca="false">MAX(R39,R40,R42)</f>
        <v>102.751977569265</v>
      </c>
      <c r="S44" s="0" t="n">
        <f aca="false">MAX(S39,S40,S42)</f>
        <v>80.6356388708106</v>
      </c>
      <c r="T44" s="0" t="n">
        <f aca="false">MAX(T39,T40,T42)</f>
        <v>63.2796215695285</v>
      </c>
      <c r="U44" s="0" t="n">
        <f aca="false">MAX(U39,U40,U42)</f>
        <v>49.6593139467548</v>
      </c>
      <c r="V44" s="0" t="n">
        <f aca="false">MAX(V39,V40,V42)</f>
        <v>38.9706417405292</v>
      </c>
      <c r="W44" s="0" t="n">
        <f aca="false">MAX(W39,W40,W42)</f>
        <v>30.5825996568751</v>
      </c>
      <c r="X44" s="0" t="n">
        <f aca="false">MAX(X39,X40,X42)</f>
        <v>23.9999999999999</v>
      </c>
    </row>
    <row r="45" customFormat="false" ht="13.2" hidden="false" customHeight="false" outlineLevel="0" collapsed="false">
      <c r="D45" s="53" t="s">
        <v>514</v>
      </c>
      <c r="E45" s="0" t="n">
        <f aca="false">E38/E44*1000</f>
        <v>2.08333333333333</v>
      </c>
      <c r="F45" s="0" t="n">
        <f aca="false">F38/F44*1000</f>
        <v>2.6547395535482</v>
      </c>
      <c r="G45" s="0" t="n">
        <f aca="false">G38/G44*1000</f>
        <v>3.38286820664317</v>
      </c>
      <c r="H45" s="0" t="n">
        <f aca="false">H38/H44*1000</f>
        <v>4.31070433565581</v>
      </c>
      <c r="I45" s="0" t="n">
        <f aca="false">I38/I44*1000</f>
        <v>5.49302270568825</v>
      </c>
      <c r="J45" s="0" t="n">
        <f aca="false">J38/J44*1000</f>
        <v>6.99962142975788</v>
      </c>
      <c r="K45" s="0" t="n">
        <f aca="false">K38/K44*1000</f>
        <v>8.91944249733208</v>
      </c>
      <c r="L45" s="0" t="n">
        <f aca="false">L38/L44*1000</f>
        <v>11.3658224607678</v>
      </c>
      <c r="M45" s="0" t="n">
        <f aca="false">M38/M44*1000</f>
        <v>14.4831832536992</v>
      </c>
      <c r="N45" s="0" t="n">
        <f aca="false">N38/N44*1000</f>
        <v>18.4555581335434</v>
      </c>
      <c r="O45" s="0" t="n">
        <f aca="false">O38/O44*1000</f>
        <v>23.5174560767644</v>
      </c>
      <c r="P45" s="0" t="n">
        <f aca="false">P38/P44*1000</f>
        <v>29.967706005993</v>
      </c>
      <c r="Q45" s="0" t="n">
        <f aca="false">Q38/Q44*1000</f>
        <v>38.1870981423425</v>
      </c>
      <c r="R45" s="0" t="n">
        <f aca="false">R38/R44*1000</f>
        <v>48.6608639393776</v>
      </c>
      <c r="S45" s="0" t="n">
        <f aca="false">S38/S44*1000</f>
        <v>62.0073217006526</v>
      </c>
      <c r="T45" s="0" t="n">
        <f aca="false">T38/T44*1000</f>
        <v>79.0143789735887</v>
      </c>
      <c r="U45" s="0" t="n">
        <f aca="false">U38/U44*1000</f>
        <v>100.686046636912</v>
      </c>
      <c r="V45" s="0" t="n">
        <f aca="false">V38/V44*1000</f>
        <v>128.301710638756</v>
      </c>
      <c r="W45" s="0" t="n">
        <f aca="false">W38/W44*1000</f>
        <v>163.491660489888</v>
      </c>
      <c r="X45" s="0" t="n">
        <f aca="false">X38/X44*1000</f>
        <v>208.333333333334</v>
      </c>
    </row>
    <row r="47" customFormat="false" ht="13.2" hidden="false" customHeight="false" outlineLevel="0" collapsed="false">
      <c r="D47" s="53" t="s">
        <v>466</v>
      </c>
      <c r="E47" s="0" t="n">
        <f aca="false">IF(E45&lt;$J$23,$J$24,IF(E45&lt;$K$23,$K$24,IF(E45&lt;$L$23,$L$24,$M$24)))</f>
        <v>81</v>
      </c>
      <c r="F47" s="0" t="n">
        <f aca="false">IF(F45&lt;$J$23,$J$24,IF(F45&lt;$K$23,$K$24,IF(F45&lt;$L$23,$L$24,$M$24)))</f>
        <v>81</v>
      </c>
      <c r="G47" s="0" t="n">
        <f aca="false">IF(G45&lt;$J$23,$J$24,IF(G45&lt;$K$23,$K$24,IF(G45&lt;$L$23,$L$24,$M$24)))</f>
        <v>81</v>
      </c>
      <c r="H47" s="0" t="n">
        <f aca="false">IF(H45&lt;$J$23,$J$24,IF(H45&lt;$K$23,$K$24,IF(H45&lt;$L$23,$L$24,$M$24)))</f>
        <v>81</v>
      </c>
      <c r="I47" s="0" t="n">
        <f aca="false">IF(I45&lt;$J$23,$J$24,IF(I45&lt;$K$23,$K$24,IF(I45&lt;$L$23,$L$24,$M$24)))</f>
        <v>81</v>
      </c>
      <c r="J47" s="0" t="n">
        <f aca="false">IF(J45&lt;$J$23,$J$24,IF(J45&lt;$K$23,$K$24,IF(J45&lt;$L$23,$L$24,$M$24)))</f>
        <v>81</v>
      </c>
      <c r="K47" s="0" t="n">
        <f aca="false">IF(K45&lt;$J$23,$J$24,IF(K45&lt;$K$23,$K$24,IF(K45&lt;$L$23,$L$24,$M$24)))</f>
        <v>81</v>
      </c>
      <c r="L47" s="0" t="n">
        <f aca="false">IF(L45&lt;$J$23,$J$24,IF(L45&lt;$K$23,$K$24,IF(L45&lt;$L$23,$L$24,$M$24)))</f>
        <v>51.4285714285714</v>
      </c>
      <c r="M47" s="0" t="n">
        <f aca="false">IF(M45&lt;$J$23,$J$24,IF(M45&lt;$K$23,$K$24,IF(M45&lt;$L$23,$L$24,$M$24)))</f>
        <v>51.4285714285714</v>
      </c>
      <c r="N47" s="0" t="n">
        <f aca="false">IF(N45&lt;$J$23,$J$24,IF(N45&lt;$K$23,$K$24,IF(N45&lt;$L$23,$L$24,$M$24)))</f>
        <v>51.4285714285714</v>
      </c>
      <c r="O47" s="0" t="n">
        <f aca="false">IF(O45&lt;$J$23,$J$24,IF(O45&lt;$K$23,$K$24,IF(O45&lt;$L$23,$L$24,$M$24)))</f>
        <v>51.4285714285714</v>
      </c>
      <c r="P47" s="0" t="n">
        <f aca="false">IF(P45&lt;$J$23,$J$24,IF(P45&lt;$K$23,$K$24,IF(P45&lt;$L$23,$L$24,$M$24)))</f>
        <v>51.4285714285714</v>
      </c>
      <c r="Q47" s="0" t="n">
        <f aca="false">IF(Q45&lt;$J$23,$J$24,IF(Q45&lt;$K$23,$K$24,IF(Q45&lt;$L$23,$L$24,$M$24)))</f>
        <v>51.4285714285714</v>
      </c>
      <c r="R47" s="0" t="n">
        <f aca="false">IF(R45&lt;$J$23,$J$24,IF(R45&lt;$K$23,$K$24,IF(R45&lt;$L$23,$L$24,$M$24)))</f>
        <v>51.4285714285714</v>
      </c>
      <c r="S47" s="0" t="n">
        <f aca="false">IF(S45&lt;$J$23,$J$24,IF(S45&lt;$K$23,$K$24,IF(S45&lt;$L$23,$L$24,$M$24)))</f>
        <v>51.4285714285714</v>
      </c>
      <c r="T47" s="0" t="n">
        <f aca="false">IF(T45&lt;$J$23,$J$24,IF(T45&lt;$K$23,$K$24,IF(T45&lt;$L$23,$L$24,$M$24)))</f>
        <v>51.4285714285714</v>
      </c>
      <c r="U47" s="0" t="n">
        <f aca="false">IF(U45&lt;$J$23,$J$24,IF(U45&lt;$K$23,$K$24,IF(U45&lt;$L$23,$L$24,$M$24)))</f>
        <v>12.348</v>
      </c>
      <c r="V47" s="0" t="n">
        <f aca="false">IF(V45&lt;$J$23,$J$24,IF(V45&lt;$K$23,$K$24,IF(V45&lt;$L$23,$L$24,$M$24)))</f>
        <v>12.348</v>
      </c>
      <c r="W47" s="0" t="n">
        <f aca="false">IF(W45&lt;$J$23,$J$24,IF(W45&lt;$K$23,$K$24,IF(W45&lt;$L$23,$L$24,$M$24)))</f>
        <v>12.348</v>
      </c>
      <c r="X47" s="0" t="n">
        <f aca="false">IF(X45&lt;$J$23,$J$24,IF(X45&lt;$K$23,$K$24,IF(X45&lt;$L$23,$L$24,$M$24)))</f>
        <v>12.348</v>
      </c>
    </row>
    <row r="48" customFormat="false" ht="13.2" hidden="false" customHeight="false" outlineLevel="0" collapsed="false">
      <c r="D48" s="53" t="s">
        <v>467</v>
      </c>
      <c r="E48" s="0" t="n">
        <f aca="false">IF(E45&lt;$J$23,$J$25,IF(E45&lt;$K$23,$K$25,IF(E45&lt;$L$23,$L$25,$M$25)))</f>
        <v>-0.653212513775344</v>
      </c>
      <c r="F48" s="0" t="n">
        <f aca="false">IF(F45&lt;$J$23,$J$25,IF(F45&lt;$K$23,$K$25,IF(F45&lt;$L$23,$L$25,$M$25)))</f>
        <v>-0.653212513775344</v>
      </c>
      <c r="G48" s="0" t="n">
        <f aca="false">IF(G45&lt;$J$23,$J$25,IF(G45&lt;$K$23,$K$25,IF(G45&lt;$L$23,$L$25,$M$25)))</f>
        <v>-0.653212513775344</v>
      </c>
      <c r="H48" s="0" t="n">
        <f aca="false">IF(H45&lt;$J$23,$J$25,IF(H45&lt;$K$23,$K$25,IF(H45&lt;$L$23,$L$25,$M$25)))</f>
        <v>-0.653212513775344</v>
      </c>
      <c r="I48" s="0" t="n">
        <f aca="false">IF(I45&lt;$J$23,$J$25,IF(I45&lt;$K$23,$K$25,IF(I45&lt;$L$23,$L$25,$M$25)))</f>
        <v>-0.653212513775344</v>
      </c>
      <c r="J48" s="0" t="n">
        <f aca="false">IF(J45&lt;$J$23,$J$25,IF(J45&lt;$K$23,$K$25,IF(J45&lt;$L$23,$L$25,$M$25)))</f>
        <v>-0.653212513775344</v>
      </c>
      <c r="K48" s="0" t="n">
        <f aca="false">IF(K45&lt;$J$23,$J$25,IF(K45&lt;$K$23,$K$25,IF(K45&lt;$L$23,$L$25,$M$25)))</f>
        <v>-0.653212513775344</v>
      </c>
      <c r="L48" s="0" t="n">
        <f aca="false">IF(L45&lt;$J$23,$J$25,IF(L45&lt;$K$23,$K$25,IF(L45&lt;$L$23,$L$25,$M$25)))</f>
        <v>-0.455931955649724</v>
      </c>
      <c r="M48" s="0" t="n">
        <f aca="false">IF(M45&lt;$J$23,$J$25,IF(M45&lt;$K$23,$K$25,IF(M45&lt;$L$23,$L$25,$M$25)))</f>
        <v>-0.455931955649724</v>
      </c>
      <c r="N48" s="0" t="n">
        <f aca="false">IF(N45&lt;$J$23,$J$25,IF(N45&lt;$K$23,$K$25,IF(N45&lt;$L$23,$L$25,$M$25)))</f>
        <v>-0.455931955649724</v>
      </c>
      <c r="O48" s="0" t="n">
        <f aca="false">IF(O45&lt;$J$23,$J$25,IF(O45&lt;$K$23,$K$25,IF(O45&lt;$L$23,$L$25,$M$25)))</f>
        <v>-0.455931955649724</v>
      </c>
      <c r="P48" s="0" t="n">
        <f aca="false">IF(P45&lt;$J$23,$J$25,IF(P45&lt;$K$23,$K$25,IF(P45&lt;$L$23,$L$25,$M$25)))</f>
        <v>-0.455931955649724</v>
      </c>
      <c r="Q48" s="0" t="n">
        <f aca="false">IF(Q45&lt;$J$23,$J$25,IF(Q45&lt;$K$23,$K$25,IF(Q45&lt;$L$23,$L$25,$M$25)))</f>
        <v>-0.455931955649724</v>
      </c>
      <c r="R48" s="0" t="n">
        <f aca="false">IF(R45&lt;$J$23,$J$25,IF(R45&lt;$K$23,$K$25,IF(R45&lt;$L$23,$L$25,$M$25)))</f>
        <v>-0.455931955649724</v>
      </c>
      <c r="S48" s="0" t="n">
        <f aca="false">IF(S45&lt;$J$23,$J$25,IF(S45&lt;$K$23,$K$25,IF(S45&lt;$L$23,$L$25,$M$25)))</f>
        <v>-0.455931955649724</v>
      </c>
      <c r="T48" s="0" t="n">
        <f aca="false">IF(T45&lt;$J$23,$J$25,IF(T45&lt;$K$23,$K$25,IF(T45&lt;$L$23,$L$25,$M$25)))</f>
        <v>-0.455931955649724</v>
      </c>
      <c r="U48" s="0" t="n">
        <f aca="false">IF(U45&lt;$J$23,$J$25,IF(U45&lt;$K$23,$K$25,IF(U45&lt;$L$23,$L$25,$M$25)))</f>
        <v>-0.146128035678238</v>
      </c>
      <c r="V48" s="0" t="n">
        <f aca="false">IF(V45&lt;$J$23,$J$25,IF(V45&lt;$K$23,$K$25,IF(V45&lt;$L$23,$L$25,$M$25)))</f>
        <v>-0.146128035678238</v>
      </c>
      <c r="W48" s="0" t="n">
        <f aca="false">IF(W45&lt;$J$23,$J$25,IF(W45&lt;$K$23,$K$25,IF(W45&lt;$L$23,$L$25,$M$25)))</f>
        <v>-0.146128035678238</v>
      </c>
      <c r="X48" s="0" t="n">
        <f aca="false">IF(X45&lt;$J$23,$J$25,IF(X45&lt;$K$23,$K$25,IF(X45&lt;$L$23,$L$25,$M$25)))</f>
        <v>-0.146128035678238</v>
      </c>
    </row>
    <row r="50" customFormat="false" ht="13.2" hidden="false" customHeight="false" outlineLevel="0" collapsed="false">
      <c r="D50" s="53" t="s">
        <v>515</v>
      </c>
      <c r="E50" s="0" t="n">
        <f aca="false">E47*E45^E48*VINMAX</f>
        <v>2507.48192193485</v>
      </c>
      <c r="F50" s="0" t="n">
        <f aca="false">F47*F45^F48*VINMAX</f>
        <v>2140.31945242657</v>
      </c>
      <c r="G50" s="0" t="n">
        <f aca="false">G47*G45^G48*VINMAX</f>
        <v>1826.91939605322</v>
      </c>
      <c r="H50" s="0" t="n">
        <f aca="false">H47*H45^H48*VINMAX</f>
        <v>1559.40949650831</v>
      </c>
      <c r="I50" s="0" t="n">
        <f aca="false">I47*I45^I48*VINMAX</f>
        <v>1331.07020652019</v>
      </c>
      <c r="J50" s="0" t="n">
        <f aca="false">J47*J45^J48*VINMAX</f>
        <v>1136.16590039553</v>
      </c>
      <c r="K50" s="0" t="n">
        <f aca="false">K47*K45^K48*VINMAX</f>
        <v>969.800801564262</v>
      </c>
      <c r="L50" s="0" t="n">
        <f aca="false">L47*L45^L48*VINMAX</f>
        <v>848.969908376301</v>
      </c>
      <c r="M50" s="0" t="n">
        <f aca="false">M47*M45^M48*VINMAX</f>
        <v>760.150279579628</v>
      </c>
      <c r="N50" s="0" t="n">
        <f aca="false">N47*N45^N48*VINMAX</f>
        <v>680.623001880142</v>
      </c>
      <c r="O50" s="0" t="n">
        <f aca="false">O47*O45^O48*VINMAX</f>
        <v>609.415905160907</v>
      </c>
      <c r="P50" s="0" t="n">
        <f aca="false">P47*P45^P48*VINMAX</f>
        <v>545.658528197214</v>
      </c>
      <c r="Q50" s="0" t="n">
        <f aca="false">Q47*Q45^Q48*VINMAX</f>
        <v>488.571477824713</v>
      </c>
      <c r="R50" s="0" t="n">
        <f aca="false">R47*R45^R48*VINMAX</f>
        <v>437.456901356358</v>
      </c>
      <c r="S50" s="0" t="n">
        <f aca="false">S47*S45^S48*VINMAX</f>
        <v>391.68995577954</v>
      </c>
      <c r="T50" s="0" t="n">
        <f aca="false">T47*T45^T48*VINMAX</f>
        <v>350.711169449809</v>
      </c>
      <c r="U50" s="0" t="n">
        <f aca="false">U47*U45^U48*VINMAX</f>
        <v>314.685445922398</v>
      </c>
      <c r="V50" s="0" t="n">
        <f aca="false">V47*V45^V48*VINMAX</f>
        <v>303.734943701129</v>
      </c>
      <c r="W50" s="0" t="n">
        <f aca="false">W47*W45^W48*VINMAX</f>
        <v>293.165499772997</v>
      </c>
      <c r="X50" s="0" t="n">
        <f aca="false">X47*X45^X48*VINMAX</f>
        <v>282.963853976974</v>
      </c>
    </row>
    <row r="51" customFormat="false" ht="13.2" hidden="false" customHeight="false" outlineLevel="0" collapsed="false">
      <c r="D51" s="53" t="s">
        <v>516</v>
      </c>
      <c r="E51" s="0" t="n">
        <f aca="false">E50*(TJMAX-$E$19)/(TJMAX - 25)</f>
        <v>2153.48447413228</v>
      </c>
      <c r="F51" s="0" t="n">
        <f aca="false">F50*(TJMAX-$E$19)/(TJMAX - 25)</f>
        <v>1838.15670620164</v>
      </c>
      <c r="G51" s="0" t="n">
        <f aca="false">G50*(TJMAX-$E$19)/(TJMAX - 25)</f>
        <v>1569.00136366924</v>
      </c>
      <c r="H51" s="0" t="n">
        <f aca="false">H50*(TJMAX-$E$19)/(TJMAX - 25)</f>
        <v>1339.25756758949</v>
      </c>
      <c r="I51" s="0" t="n">
        <f aca="false">I50*(TJMAX-$E$19)/(TJMAX - 25)</f>
        <v>1143.15441265852</v>
      </c>
      <c r="J51" s="0" t="n">
        <f aca="false">J50*(TJMAX-$E$19)/(TJMAX - 25)</f>
        <v>975.766008574987</v>
      </c>
      <c r="K51" s="0" t="n">
        <f aca="false">K50*(TJMAX-$E$19)/(TJMAX - 25)</f>
        <v>832.887747225778</v>
      </c>
      <c r="L51" s="0" t="n">
        <f aca="false">L50*(TJMAX-$E$19)/(TJMAX - 25)</f>
        <v>729.115333076117</v>
      </c>
      <c r="M51" s="0" t="n">
        <f aca="false">M50*(TJMAX-$E$19)/(TJMAX - 25)</f>
        <v>652.834945991916</v>
      </c>
      <c r="N51" s="0" t="n">
        <f aca="false">N50*(TJMAX-$E$19)/(TJMAX - 25)</f>
        <v>584.535048673534</v>
      </c>
      <c r="O51" s="0" t="n">
        <f aca="false">O50*(TJMAX-$E$19)/(TJMAX - 25)</f>
        <v>523.380718549956</v>
      </c>
      <c r="P51" s="0" t="n">
        <f aca="false">P50*(TJMAX-$E$19)/(TJMAX - 25)</f>
        <v>468.62438303996</v>
      </c>
      <c r="Q51" s="0" t="n">
        <f aca="false">Q50*(TJMAX-$E$19)/(TJMAX - 25)</f>
        <v>419.596680955342</v>
      </c>
      <c r="R51" s="0" t="n">
        <f aca="false">R50*(TJMAX-$E$19)/(TJMAX - 25)</f>
        <v>375.698279988401</v>
      </c>
      <c r="S51" s="0" t="n">
        <f aca="false">S50*(TJMAX-$E$19)/(TJMAX - 25)</f>
        <v>336.392550257722</v>
      </c>
      <c r="T51" s="0" t="n">
        <f aca="false">T50*(TJMAX-$E$19)/(TJMAX - 25)</f>
        <v>301.199004351012</v>
      </c>
      <c r="U51" s="0" t="n">
        <f aca="false">U50*(TJMAX-$E$19)/(TJMAX - 25)</f>
        <v>270.259265321589</v>
      </c>
      <c r="V51" s="0" t="n">
        <f aca="false">V50*(TJMAX-$E$19)/(TJMAX - 25)</f>
        <v>260.854716355087</v>
      </c>
      <c r="W51" s="0" t="n">
        <f aca="false">W50*(TJMAX-$E$19)/(TJMAX - 25)</f>
        <v>251.777429216809</v>
      </c>
      <c r="X51" s="0" t="n">
        <f aca="false">X50*(TJMAX-$E$19)/(TJMAX - 25)</f>
        <v>243.01601576846</v>
      </c>
    </row>
    <row r="52" customFormat="false" ht="13.2" hidden="false" customHeight="false" outlineLevel="0" collapsed="false">
      <c r="D52" s="53" t="s">
        <v>517</v>
      </c>
      <c r="E52" s="0" t="n">
        <f aca="false">E51/E44</f>
        <v>0.897285197555117</v>
      </c>
      <c r="F52" s="0" t="n">
        <f aca="false">F51/F44</f>
        <v>0.975965462714675</v>
      </c>
      <c r="G52" s="0" t="n">
        <f aca="false">G51/G44</f>
        <v>1.06154496586729</v>
      </c>
      <c r="H52" s="0" t="n">
        <f aca="false">H51/H44</f>
        <v>1.15462868063358</v>
      </c>
      <c r="I52" s="0" t="n">
        <f aca="false">I51/I44</f>
        <v>1.25587462896819</v>
      </c>
      <c r="J52" s="0" t="n">
        <f aca="false">J51/J44</f>
        <v>1.36599853281016</v>
      </c>
      <c r="K52" s="0" t="n">
        <f aca="false">K51/K44</f>
        <v>1.48577887362256</v>
      </c>
      <c r="L52" s="0" t="n">
        <f aca="false">L51/L44</f>
        <v>1.65739908583334</v>
      </c>
      <c r="M52" s="0" t="n">
        <f aca="false">M51/M44</f>
        <v>1.89102563144395</v>
      </c>
      <c r="N52" s="0" t="n">
        <f aca="false">N51/N44</f>
        <v>2.15758411437761</v>
      </c>
      <c r="O52" s="0" t="n">
        <f aca="false">O51/O44</f>
        <v>2.46171661198479</v>
      </c>
      <c r="P52" s="0" t="n">
        <f aca="false">P51/P44</f>
        <v>2.80871954763628</v>
      </c>
      <c r="Q52" s="0" t="n">
        <f aca="false">Q51/Q44</f>
        <v>3.20463592716856</v>
      </c>
      <c r="R52" s="0" t="n">
        <f aca="false">R51/R44</f>
        <v>3.65636057695476</v>
      </c>
      <c r="S52" s="0" t="n">
        <f aca="false">S51/S44</f>
        <v>4.17176021630671</v>
      </c>
      <c r="T52" s="0" t="n">
        <f aca="false">T51/T44</f>
        <v>4.75981045525169</v>
      </c>
      <c r="U52" s="0" t="n">
        <f aca="false">U51/U44</f>
        <v>5.4422673984454</v>
      </c>
      <c r="V52" s="0" t="n">
        <f aca="false">V51/V44</f>
        <v>6.69362126730902</v>
      </c>
      <c r="W52" s="0" t="n">
        <f aca="false">W51/W44</f>
        <v>8.23270199530627</v>
      </c>
      <c r="X52" s="0" t="n">
        <f aca="false">X51/X44</f>
        <v>10.1256673236859</v>
      </c>
    </row>
    <row r="54" customFormat="false" ht="13.2" hidden="false" customHeight="false" outlineLevel="0" collapsed="false">
      <c r="D54" s="53" t="s">
        <v>518</v>
      </c>
      <c r="E54" s="0" t="str">
        <f aca="false">IF(E52&gt;$E$20, "Y", "N")</f>
        <v>N</v>
      </c>
      <c r="F54" s="0" t="str">
        <f aca="false">IF(F52&gt;$E$20, "Y", "N")</f>
        <v>N</v>
      </c>
      <c r="G54" s="0" t="str">
        <f aca="false">IF(G52&gt;$E$20, "Y", "N")</f>
        <v>N</v>
      </c>
      <c r="H54" s="0" t="str">
        <f aca="false">IF(H52&gt;$E$20, "Y", "N")</f>
        <v>N</v>
      </c>
      <c r="I54" s="0" t="str">
        <f aca="false">IF(I52&gt;$E$20, "Y", "N")</f>
        <v>N</v>
      </c>
      <c r="J54" s="0" t="str">
        <f aca="false">IF(J52&gt;$E$20, "Y", "N")</f>
        <v>N</v>
      </c>
      <c r="K54" s="0" t="str">
        <f aca="false">IF(K52&gt;$E$20, "Y", "N")</f>
        <v>N</v>
      </c>
      <c r="L54" s="0" t="str">
        <f aca="false">IF(L52&gt;$E$20, "Y", "N")</f>
        <v>Y</v>
      </c>
      <c r="M54" s="0" t="str">
        <f aca="false">IF(M52&gt;$E$20, "Y", "N")</f>
        <v>Y</v>
      </c>
      <c r="N54" s="0" t="str">
        <f aca="false">IF(N52&gt;$E$20, "Y", "N")</f>
        <v>Y</v>
      </c>
      <c r="O54" s="0" t="str">
        <f aca="false">IF(O52&gt;$E$20, "Y", "N")</f>
        <v>Y</v>
      </c>
      <c r="P54" s="0" t="str">
        <f aca="false">IF(P52&gt;$E$20, "Y", "N")</f>
        <v>Y</v>
      </c>
      <c r="Q54" s="0" t="str">
        <f aca="false">IF(Q52&gt;$E$20, "Y", "N")</f>
        <v>Y</v>
      </c>
      <c r="R54" s="0" t="str">
        <f aca="false">IF(R52&gt;$E$20, "Y", "N")</f>
        <v>Y</v>
      </c>
      <c r="S54" s="0" t="str">
        <f aca="false">IF(S52&gt;$E$20, "Y", "N")</f>
        <v>Y</v>
      </c>
      <c r="T54" s="0" t="str">
        <f aca="false">IF(T52&gt;$E$20, "Y", "N")</f>
        <v>Y</v>
      </c>
      <c r="U54" s="0" t="str">
        <f aca="false">IF(U52&gt;$E$20, "Y", "N")</f>
        <v>Y</v>
      </c>
      <c r="V54" s="0" t="str">
        <f aca="false">IF(V52&gt;$E$20, "Y", "N")</f>
        <v>Y</v>
      </c>
      <c r="W54" s="0" t="str">
        <f aca="false">IF(W52&gt;$E$20, "Y", "N")</f>
        <v>Y</v>
      </c>
      <c r="X54" s="0" t="str">
        <f aca="false">IF(X52&gt;$E$20, "Y", "N")</f>
        <v>Y</v>
      </c>
      <c r="Y54" s="0" t="s">
        <v>519</v>
      </c>
    </row>
    <row r="55" customFormat="false" ht="13.2" hidden="false" customHeight="false" outlineLevel="0" collapsed="false">
      <c r="D55" s="53" t="s">
        <v>520</v>
      </c>
      <c r="E55" s="0" t="n">
        <f aca="false">IF(E54="Y", 1, 0)</f>
        <v>0</v>
      </c>
      <c r="F55" s="0" t="n">
        <f aca="false">IF(AND(F54="Y", E54="N"),  1, 0)</f>
        <v>0</v>
      </c>
      <c r="G55" s="0" t="n">
        <f aca="false">IF(AND(G54="Y", F54="N"),  1, 0)</f>
        <v>0</v>
      </c>
      <c r="H55" s="0" t="n">
        <f aca="false">IF(AND(H54="Y", G54="N"),  1, 0)</f>
        <v>0</v>
      </c>
      <c r="I55" s="0" t="n">
        <f aca="false">IF(AND(I54="Y", H54="N"),  1, 0)</f>
        <v>0</v>
      </c>
      <c r="J55" s="0" t="n">
        <f aca="false">IF(AND(J54="Y", I54="N"),  1, 0)</f>
        <v>0</v>
      </c>
      <c r="K55" s="0" t="n">
        <f aca="false">IF(AND(K54="Y", J54="N"),  1, 0)</f>
        <v>0</v>
      </c>
      <c r="L55" s="0" t="n">
        <f aca="false">IF(AND(L54="Y", K54="N"),  1, 0)</f>
        <v>1</v>
      </c>
      <c r="M55" s="0" t="n">
        <f aca="false">IF(AND(M54="Y", L54="N"),  1, 0)</f>
        <v>0</v>
      </c>
      <c r="N55" s="0" t="n">
        <f aca="false">IF(AND(N54="Y", M54="N"),  1, 0)</f>
        <v>0</v>
      </c>
      <c r="O55" s="0" t="n">
        <f aca="false">IF(AND(O54="Y", N54="N"),  1, 0)</f>
        <v>0</v>
      </c>
      <c r="P55" s="0" t="n">
        <f aca="false">IF(AND(P54="Y", O54="N"),  1, 0)</f>
        <v>0</v>
      </c>
      <c r="Q55" s="0" t="n">
        <f aca="false">IF(AND(Q54="Y", P54="N"),  1, 0)</f>
        <v>0</v>
      </c>
      <c r="R55" s="0" t="n">
        <f aca="false">IF(AND(R54="Y", Q54="N"),  1, 0)</f>
        <v>0</v>
      </c>
      <c r="S55" s="0" t="n">
        <f aca="false">IF(AND(S54="Y", R54="N"),  1, 0)</f>
        <v>0</v>
      </c>
      <c r="T55" s="0" t="n">
        <f aca="false">IF(AND(T54="Y", S54="N"),  1, 0)</f>
        <v>0</v>
      </c>
      <c r="U55" s="0" t="n">
        <f aca="false">IF(AND(U54="Y", T54="N"),  1, 0)</f>
        <v>0</v>
      </c>
      <c r="V55" s="0" t="n">
        <f aca="false">IF(AND(V54="Y", U54="N"),  1, 0)</f>
        <v>0</v>
      </c>
      <c r="W55" s="0" t="n">
        <f aca="false">IF(AND(W54="Y", V54="N"),  1, 0)</f>
        <v>0</v>
      </c>
      <c r="X55" s="0" t="n">
        <f aca="false">IF(AND(X54="Y", W54="N"),  1, 0)</f>
        <v>0</v>
      </c>
    </row>
    <row r="56" customFormat="false" ht="13.2" hidden="false" customHeight="false" outlineLevel="0" collapsed="false">
      <c r="D56" s="53" t="s">
        <v>521</v>
      </c>
      <c r="E56" s="0" t="n">
        <v>0</v>
      </c>
      <c r="F56" s="0" t="n">
        <f aca="false">IF(AND(F54="Y", G54="N"),  1, 0)</f>
        <v>0</v>
      </c>
      <c r="G56" s="0" t="n">
        <f aca="false">IF(AND(G54="Y", H54="N"),  1, 0)</f>
        <v>0</v>
      </c>
      <c r="H56" s="0" t="n">
        <f aca="false">IF(AND(H54="Y", I54="N"),  1, 0)</f>
        <v>0</v>
      </c>
      <c r="I56" s="0" t="n">
        <f aca="false">IF(AND(I54="Y", J54="N"),  1, 0)</f>
        <v>0</v>
      </c>
      <c r="J56" s="0" t="n">
        <f aca="false">IF(AND(J54="Y", K54="N"),  1, 0)</f>
        <v>0</v>
      </c>
      <c r="K56" s="0" t="n">
        <f aca="false">IF(AND(K54="Y", L54="N"),  1, 0)</f>
        <v>0</v>
      </c>
      <c r="L56" s="0" t="n">
        <f aca="false">IF(AND(L54="Y", M54="N"),  1, 0)</f>
        <v>0</v>
      </c>
      <c r="M56" s="0" t="n">
        <f aca="false">IF(AND(M54="Y", N54="N"),  1, 0)</f>
        <v>0</v>
      </c>
      <c r="N56" s="0" t="n">
        <f aca="false">IF(AND(N54="Y", O54="N"),  1, 0)</f>
        <v>0</v>
      </c>
      <c r="O56" s="0" t="n">
        <f aca="false">IF(AND(O54="Y", P54="N"),  1, 0)</f>
        <v>0</v>
      </c>
      <c r="P56" s="0" t="n">
        <f aca="false">IF(AND(P54="Y", Q54="N"),  1, 0)</f>
        <v>0</v>
      </c>
      <c r="Q56" s="0" t="n">
        <f aca="false">IF(AND(Q54="Y", R54="N"),  1, 0)</f>
        <v>0</v>
      </c>
      <c r="R56" s="0" t="n">
        <f aca="false">IF(AND(R54="Y", S54="N"),  1, 0)</f>
        <v>0</v>
      </c>
      <c r="S56" s="0" t="n">
        <f aca="false">IF(AND(S54="Y", T54="N"),  1, 0)</f>
        <v>0</v>
      </c>
      <c r="T56" s="0" t="n">
        <f aca="false">IF(AND(T54="Y", U54="N"),  1, 0)</f>
        <v>0</v>
      </c>
      <c r="U56" s="0" t="n">
        <f aca="false">IF(AND(U54="Y", V54="N"),  1, 0)</f>
        <v>0</v>
      </c>
      <c r="V56" s="0" t="n">
        <f aca="false">IF(AND(V54="Y", W54="N"),  1, 0)</f>
        <v>0</v>
      </c>
      <c r="W56" s="0" t="n">
        <f aca="false">IF(AND(W54="Y", X54="N"),  1, 0)</f>
        <v>0</v>
      </c>
      <c r="X56" s="0" t="n">
        <f aca="false">IF(AND(X54="Y", Y54="N"),  1, 0)</f>
        <v>1</v>
      </c>
    </row>
    <row r="58" customFormat="false" ht="13.2" hidden="false" customHeight="false" outlineLevel="0" collapsed="false">
      <c r="D58" s="0" t="s">
        <v>522</v>
      </c>
      <c r="E58" s="0" t="n">
        <f aca="false">E55*E35</f>
        <v>0</v>
      </c>
      <c r="F58" s="0" t="n">
        <f aca="false">F55*F35</f>
        <v>0</v>
      </c>
      <c r="G58" s="0" t="n">
        <f aca="false">G55*G35</f>
        <v>0</v>
      </c>
      <c r="H58" s="0" t="n">
        <f aca="false">H55*H35</f>
        <v>0</v>
      </c>
      <c r="I58" s="0" t="n">
        <f aca="false">I55*I35</f>
        <v>0</v>
      </c>
      <c r="J58" s="0" t="n">
        <f aca="false">J55*J35</f>
        <v>0</v>
      </c>
      <c r="K58" s="0" t="n">
        <f aca="false">K55*K35</f>
        <v>0</v>
      </c>
      <c r="L58" s="0" t="n">
        <f aca="false">L55*L35</f>
        <v>2.19957685299892</v>
      </c>
      <c r="M58" s="0" t="n">
        <f aca="false">M55*M35</f>
        <v>0</v>
      </c>
      <c r="N58" s="0" t="n">
        <f aca="false">N55*N35</f>
        <v>0</v>
      </c>
      <c r="O58" s="0" t="n">
        <f aca="false">O55*O35</f>
        <v>0</v>
      </c>
      <c r="P58" s="0" t="n">
        <f aca="false">P55*P35</f>
        <v>0</v>
      </c>
      <c r="Q58" s="0" t="n">
        <f aca="false">Q55*Q35</f>
        <v>0</v>
      </c>
      <c r="R58" s="0" t="n">
        <f aca="false">R55*R35</f>
        <v>0</v>
      </c>
      <c r="S58" s="0" t="n">
        <f aca="false">S55*S35</f>
        <v>0</v>
      </c>
      <c r="T58" s="0" t="n">
        <f aca="false">T55*T35</f>
        <v>0</v>
      </c>
      <c r="U58" s="0" t="n">
        <f aca="false">U55*U35</f>
        <v>0</v>
      </c>
      <c r="V58" s="0" t="n">
        <f aca="false">V55*V35</f>
        <v>0</v>
      </c>
      <c r="W58" s="0" t="n">
        <f aca="false">W55*W35</f>
        <v>0</v>
      </c>
      <c r="X58" s="0" t="n">
        <f aca="false">X55*X35</f>
        <v>0</v>
      </c>
    </row>
    <row r="59" customFormat="false" ht="13.2" hidden="false" customHeight="false" outlineLevel="0" collapsed="false">
      <c r="D59" s="0" t="s">
        <v>523</v>
      </c>
      <c r="E59" s="0" t="n">
        <f aca="false">E35*E56</f>
        <v>0</v>
      </c>
      <c r="F59" s="0" t="n">
        <f aca="false">F35*F56</f>
        <v>0</v>
      </c>
      <c r="G59" s="0" t="n">
        <f aca="false">G35*G56</f>
        <v>0</v>
      </c>
      <c r="H59" s="0" t="n">
        <f aca="false">H35*H56</f>
        <v>0</v>
      </c>
      <c r="I59" s="0" t="n">
        <f aca="false">I35*I56</f>
        <v>0</v>
      </c>
      <c r="J59" s="0" t="n">
        <f aca="false">J35*J56</f>
        <v>0</v>
      </c>
      <c r="K59" s="0" t="n">
        <f aca="false">K35*K56</f>
        <v>0</v>
      </c>
      <c r="L59" s="0" t="n">
        <f aca="false">L35*L56</f>
        <v>0</v>
      </c>
      <c r="M59" s="0" t="n">
        <f aca="false">M35*M56</f>
        <v>0</v>
      </c>
      <c r="N59" s="0" t="n">
        <f aca="false">N35*N56</f>
        <v>0</v>
      </c>
      <c r="O59" s="0" t="n">
        <f aca="false">O35*O56</f>
        <v>0</v>
      </c>
      <c r="P59" s="0" t="n">
        <f aca="false">P35*P56</f>
        <v>0</v>
      </c>
      <c r="Q59" s="0" t="n">
        <f aca="false">Q35*Q56</f>
        <v>0</v>
      </c>
      <c r="R59" s="0" t="n">
        <f aca="false">R35*R56</f>
        <v>0</v>
      </c>
      <c r="S59" s="0" t="n">
        <f aca="false">S35*S56</f>
        <v>0</v>
      </c>
      <c r="T59" s="0" t="n">
        <f aca="false">T35*T56</f>
        <v>0</v>
      </c>
      <c r="U59" s="0" t="n">
        <f aca="false">U35*U56</f>
        <v>0</v>
      </c>
      <c r="V59" s="0" t="n">
        <f aca="false">V35*V56</f>
        <v>0</v>
      </c>
      <c r="W59" s="0" t="n">
        <f aca="false">W35*W56</f>
        <v>0</v>
      </c>
      <c r="X59" s="0" t="n">
        <f aca="false">X35*X56</f>
        <v>0.12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LibreOffice/6.0.7.3$Linux_X86_64 LibreOffice_project/00m0$Build-3</Application>
  <Company>NSC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2009-04-21T16:00:33Z</dcterms:created>
  <dc:creator>a-rogachev@ti.com</dc:creator>
  <dc:description/>
  <dc:language>en-US</dc:language>
  <cp:lastModifiedBy/>
  <cp:lastPrinted>2013-08-26T22:42:43Z</cp:lastPrinted>
  <dcterms:modified xsi:type="dcterms:W3CDTF">2020-11-20T09:47:45Z</dcterms:modified>
  <cp:revision>2</cp:revision>
  <dc:subject/>
  <dc:title>LM25066/I Design Tool</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NSC</vt:lpwstr>
  </property>
  <property fmtid="{D5CDD505-2E9C-101B-9397-08002B2CF9AE}" pid="4" name="ContentTypeId">
    <vt:lpwstr>0x010100CF72F43736E84F41BD4B3E7ABAD1B9F8</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